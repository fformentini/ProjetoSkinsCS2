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bri\OneDrive\Área de Trabalho\ProjetoSkinsCS2\"/>
    </mc:Choice>
  </mc:AlternateContent>
  <xr:revisionPtr revIDLastSave="0" documentId="8_{F9285D62-EAFF-4626-BC35-6C88A151F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 de Skins" sheetId="1" r:id="rId1"/>
    <sheet name="Planilha1" sheetId="2" r:id="rId2"/>
  </sheets>
  <definedNames>
    <definedName name="_xlnm._FilterDatabase" localSheetId="0" hidden="1">'Controle de Skins'!$A$1:$H$101</definedName>
    <definedName name="_xlnm._FilterDatabase" localSheetId="1" hidden="1">Planilha1!$D$7:$E$7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 a="1"/>
  <c r="E27" i="2"/>
  <c r="E24" i="2" a="1"/>
  <c r="E24" i="2"/>
  <c r="D27" i="2" a="1"/>
  <c r="D27" i="2"/>
  <c r="D24" i="2" a="1"/>
  <c r="D24" i="2"/>
  <c r="B90" i="1" a="1"/>
  <c r="B90" i="1"/>
  <c r="B89" i="1" a="1"/>
  <c r="B89" i="1"/>
  <c r="B88" i="1" a="1"/>
  <c r="B88" i="1"/>
  <c r="B87" i="1" a="1"/>
  <c r="B87" i="1"/>
  <c r="B86" i="1" a="1"/>
  <c r="B86" i="1"/>
  <c r="B85" i="1" a="1"/>
  <c r="B85" i="1"/>
  <c r="B84" i="1" a="1"/>
  <c r="B84" i="1"/>
  <c r="B83" i="1" a="1"/>
  <c r="B83" i="1"/>
  <c r="B82" i="1" a="1"/>
  <c r="B82" i="1"/>
  <c r="B81" i="1" a="1"/>
  <c r="B81" i="1"/>
  <c r="B80" i="1" a="1"/>
  <c r="B80" i="1"/>
  <c r="B79" i="1" a="1"/>
  <c r="B79" i="1"/>
  <c r="B78" i="1" a="1"/>
  <c r="B78" i="1"/>
  <c r="B77" i="1" a="1"/>
  <c r="B77" i="1"/>
  <c r="B76" i="1" a="1"/>
  <c r="B76" i="1"/>
  <c r="B75" i="1" a="1"/>
  <c r="B75" i="1"/>
  <c r="B74" i="1" a="1"/>
  <c r="B74" i="1"/>
  <c r="B73" i="1" a="1"/>
  <c r="B73" i="1"/>
  <c r="B72" i="1" a="1"/>
  <c r="B72" i="1"/>
  <c r="B71" i="1" a="1"/>
  <c r="B71" i="1"/>
  <c r="B70" i="1" a="1"/>
  <c r="B70" i="1"/>
  <c r="B69" i="1" a="1"/>
  <c r="B69" i="1"/>
  <c r="B68" i="1" a="1"/>
  <c r="B68" i="1"/>
  <c r="B67" i="1" a="1"/>
  <c r="B67" i="1"/>
  <c r="B66" i="1" a="1"/>
  <c r="B66" i="1"/>
  <c r="B65" i="1" a="1"/>
  <c r="B65" i="1"/>
  <c r="B64" i="1" a="1"/>
  <c r="B64" i="1"/>
  <c r="B63" i="1" a="1"/>
  <c r="B63" i="1"/>
  <c r="B62" i="1" a="1"/>
  <c r="B62" i="1"/>
  <c r="B61" i="1" a="1"/>
  <c r="B61" i="1"/>
  <c r="B60" i="1" a="1"/>
  <c r="B60" i="1"/>
  <c r="B59" i="1" a="1"/>
  <c r="B59" i="1"/>
  <c r="B58" i="1" a="1"/>
  <c r="B58" i="1"/>
  <c r="B57" i="1" a="1"/>
  <c r="B57" i="1"/>
  <c r="B56" i="1" a="1"/>
  <c r="B56" i="1"/>
  <c r="B55" i="1" a="1"/>
  <c r="B55" i="1"/>
  <c r="B54" i="1" a="1"/>
  <c r="B54" i="1"/>
  <c r="B53" i="1" a="1"/>
  <c r="B53" i="1"/>
  <c r="B52" i="1" a="1"/>
  <c r="B52" i="1"/>
  <c r="B51" i="1" a="1"/>
  <c r="B51" i="1"/>
  <c r="B50" i="1" a="1"/>
  <c r="B50" i="1"/>
  <c r="B49" i="1" a="1"/>
  <c r="B49" i="1"/>
  <c r="B48" i="1" a="1"/>
  <c r="B48" i="1"/>
  <c r="B47" i="1" a="1"/>
  <c r="B47" i="1"/>
  <c r="B46" i="1" a="1"/>
  <c r="B46" i="1"/>
  <c r="B45" i="1" a="1"/>
  <c r="B45" i="1"/>
  <c r="B44" i="1" a="1"/>
  <c r="B44" i="1"/>
  <c r="B43" i="1" a="1"/>
  <c r="B43" i="1"/>
  <c r="B42" i="1" a="1"/>
  <c r="B42" i="1"/>
  <c r="B41" i="1" a="1"/>
  <c r="B41" i="1"/>
  <c r="B40" i="1" a="1"/>
  <c r="B40" i="1"/>
  <c r="B39" i="1" a="1"/>
  <c r="B39" i="1"/>
  <c r="B38" i="1" a="1"/>
  <c r="B38" i="1"/>
  <c r="B37" i="1" a="1"/>
  <c r="B37" i="1"/>
  <c r="B36" i="1" a="1"/>
  <c r="B36" i="1"/>
  <c r="B35" i="1" a="1"/>
  <c r="B35" i="1"/>
  <c r="B34" i="1" a="1"/>
  <c r="B34" i="1"/>
  <c r="B33" i="1" a="1"/>
  <c r="B33" i="1"/>
  <c r="B32" i="1" a="1"/>
  <c r="B32" i="1"/>
  <c r="B31" i="1" a="1"/>
  <c r="B31" i="1"/>
  <c r="B30" i="1" a="1"/>
  <c r="B30" i="1"/>
  <c r="B29" i="1" a="1"/>
  <c r="B29" i="1"/>
  <c r="B28" i="1" a="1"/>
  <c r="B28" i="1"/>
  <c r="B27" i="1" a="1"/>
  <c r="B27" i="1"/>
  <c r="B26" i="1" a="1"/>
  <c r="B26" i="1"/>
  <c r="B25" i="1" a="1"/>
  <c r="B25" i="1"/>
  <c r="B24" i="1" a="1"/>
  <c r="B24" i="1"/>
  <c r="B23" i="1" a="1"/>
  <c r="B23" i="1"/>
  <c r="B20" i="1" a="1"/>
  <c r="B20" i="1"/>
  <c r="B19" i="1" a="1"/>
  <c r="B19" i="1"/>
  <c r="B18" i="1" a="1"/>
  <c r="B18" i="1"/>
  <c r="B17" i="1" a="1"/>
  <c r="B17" i="1"/>
  <c r="B16" i="1" a="1"/>
  <c r="B16" i="1"/>
  <c r="B15" i="1" a="1"/>
  <c r="B15" i="1"/>
  <c r="B14" i="1" a="1"/>
  <c r="B14" i="1"/>
  <c r="B13" i="1" a="1"/>
  <c r="B13" i="1"/>
  <c r="B12" i="1" a="1"/>
  <c r="B12" i="1"/>
  <c r="B11" i="1" a="1"/>
  <c r="B11" i="1"/>
  <c r="B10" i="1" a="1"/>
  <c r="B10" i="1"/>
  <c r="B9" i="1" a="1"/>
  <c r="B9" i="1"/>
  <c r="B8" i="1" a="1"/>
  <c r="B8" i="1"/>
  <c r="B7" i="1" a="1"/>
  <c r="B7" i="1"/>
  <c r="B6" i="1" a="1"/>
  <c r="B6" i="1"/>
  <c r="B5" i="1" a="1"/>
  <c r="B5" i="1"/>
  <c r="B4" i="1" a="1"/>
  <c r="B4" i="1"/>
  <c r="B3" i="1" a="1"/>
  <c r="B3" i="1"/>
  <c r="B2" i="1" a="1"/>
  <c r="B2" i="1"/>
  <c r="E52" i="1"/>
  <c r="F52" i="1"/>
  <c r="G52" i="1"/>
  <c r="H52" i="1"/>
  <c r="E53" i="1"/>
  <c r="F53" i="1"/>
  <c r="G53" i="1"/>
  <c r="H53" i="1"/>
  <c r="E35" i="1"/>
  <c r="F35" i="1"/>
  <c r="G35" i="1"/>
  <c r="H35" i="1"/>
  <c r="E34" i="1"/>
  <c r="F34" i="1"/>
  <c r="G34" i="1"/>
  <c r="H34" i="1"/>
  <c r="E33" i="1"/>
  <c r="F33" i="1"/>
  <c r="G33" i="1"/>
  <c r="H33" i="1"/>
  <c r="E32" i="1"/>
  <c r="F32" i="1"/>
  <c r="G32" i="1"/>
  <c r="H32" i="1"/>
  <c r="E22" i="1"/>
  <c r="F22" i="1"/>
  <c r="G22" i="1"/>
  <c r="H22" i="1"/>
  <c r="E21" i="1"/>
  <c r="F21" i="1"/>
  <c r="G21" i="1"/>
  <c r="H21" i="1"/>
  <c r="E20" i="1"/>
  <c r="F20" i="1"/>
  <c r="G20" i="1"/>
  <c r="H20" i="1"/>
  <c r="E19" i="1"/>
  <c r="F19" i="1"/>
  <c r="G19" i="1"/>
  <c r="H19" i="1"/>
  <c r="E18" i="1"/>
  <c r="F18" i="1"/>
  <c r="G18" i="1"/>
  <c r="H18" i="1"/>
  <c r="E17" i="1"/>
  <c r="F17" i="1"/>
  <c r="G17" i="1"/>
  <c r="H17" i="1"/>
  <c r="E16" i="1"/>
  <c r="F16" i="1"/>
  <c r="G16" i="1"/>
  <c r="H16" i="1"/>
  <c r="E15" i="1"/>
  <c r="F15" i="1"/>
  <c r="G15" i="1"/>
  <c r="H15" i="1"/>
  <c r="E14" i="1"/>
  <c r="F14" i="1"/>
  <c r="G14" i="1"/>
  <c r="H14" i="1"/>
  <c r="E13" i="1"/>
  <c r="F13" i="1"/>
  <c r="G13" i="1"/>
  <c r="H13" i="1"/>
  <c r="E12" i="1"/>
  <c r="F12" i="1"/>
  <c r="G12" i="1"/>
  <c r="H12" i="1"/>
  <c r="E11" i="1"/>
  <c r="F11" i="1"/>
  <c r="G11" i="1"/>
  <c r="H11" i="1"/>
  <c r="E10" i="1"/>
  <c r="F10" i="1"/>
  <c r="G10" i="1"/>
  <c r="H10" i="1"/>
  <c r="E9" i="1"/>
  <c r="F9" i="1"/>
  <c r="G9" i="1"/>
  <c r="H9" i="1"/>
  <c r="E8" i="1"/>
  <c r="F8" i="1"/>
  <c r="G8" i="1"/>
  <c r="H8" i="1"/>
  <c r="E7" i="1"/>
  <c r="F7" i="1"/>
  <c r="G7" i="1"/>
  <c r="H7" i="1"/>
  <c r="E6" i="1"/>
  <c r="F6" i="1"/>
  <c r="G6" i="1"/>
  <c r="H6" i="1"/>
  <c r="E5" i="1"/>
  <c r="F5" i="1"/>
  <c r="G5" i="1"/>
  <c r="H5" i="1"/>
  <c r="E4" i="1"/>
  <c r="F4" i="1"/>
  <c r="G4" i="1"/>
  <c r="H4" i="1"/>
  <c r="E3" i="1"/>
  <c r="F3" i="1"/>
  <c r="G3" i="1"/>
  <c r="H3" i="1"/>
  <c r="E2" i="1"/>
  <c r="F2" i="1"/>
  <c r="G2" i="1"/>
  <c r="H2" i="1"/>
  <c r="E24" i="1"/>
  <c r="F24" i="1"/>
  <c r="G24" i="1"/>
  <c r="H24" i="1"/>
  <c r="E25" i="1"/>
  <c r="F25" i="1"/>
  <c r="G25" i="1"/>
  <c r="H25" i="1"/>
  <c r="H101" i="1"/>
  <c r="E101" i="1"/>
  <c r="F101" i="1"/>
  <c r="G101" i="1"/>
  <c r="H100" i="1"/>
  <c r="E100" i="1"/>
  <c r="F100" i="1"/>
  <c r="G100" i="1"/>
  <c r="H99" i="1"/>
  <c r="E99" i="1"/>
  <c r="F99" i="1"/>
  <c r="G99" i="1"/>
  <c r="H98" i="1"/>
  <c r="E98" i="1"/>
  <c r="F98" i="1"/>
  <c r="G98" i="1"/>
  <c r="H97" i="1"/>
  <c r="E97" i="1"/>
  <c r="F97" i="1"/>
  <c r="G97" i="1"/>
  <c r="H96" i="1"/>
  <c r="E96" i="1"/>
  <c r="F96" i="1"/>
  <c r="G96" i="1"/>
  <c r="H95" i="1"/>
  <c r="E95" i="1"/>
  <c r="F95" i="1"/>
  <c r="G95" i="1"/>
  <c r="H94" i="1"/>
  <c r="E94" i="1"/>
  <c r="F94" i="1"/>
  <c r="G94" i="1"/>
  <c r="H93" i="1"/>
  <c r="E93" i="1"/>
  <c r="F93" i="1"/>
  <c r="G93" i="1"/>
  <c r="H92" i="1"/>
  <c r="E92" i="1"/>
  <c r="F92" i="1"/>
  <c r="G92" i="1"/>
  <c r="E91" i="1"/>
  <c r="F91" i="1"/>
  <c r="G91" i="1"/>
  <c r="H91" i="1"/>
  <c r="E90" i="1"/>
  <c r="F90" i="1"/>
  <c r="G90" i="1"/>
  <c r="H90" i="1"/>
  <c r="E89" i="1"/>
  <c r="F89" i="1"/>
  <c r="G89" i="1"/>
  <c r="H89" i="1"/>
  <c r="E88" i="1"/>
  <c r="F88" i="1"/>
  <c r="G88" i="1"/>
  <c r="H88" i="1"/>
  <c r="E87" i="1"/>
  <c r="F87" i="1"/>
  <c r="G87" i="1"/>
  <c r="H87" i="1"/>
  <c r="E86" i="1"/>
  <c r="F86" i="1"/>
  <c r="G86" i="1"/>
  <c r="H86" i="1"/>
  <c r="E85" i="1"/>
  <c r="F85" i="1"/>
  <c r="G85" i="1"/>
  <c r="H85" i="1"/>
  <c r="E84" i="1"/>
  <c r="F84" i="1"/>
  <c r="G84" i="1"/>
  <c r="H84" i="1"/>
  <c r="E83" i="1"/>
  <c r="F83" i="1"/>
  <c r="G83" i="1"/>
  <c r="H83" i="1"/>
  <c r="E82" i="1"/>
  <c r="F82" i="1"/>
  <c r="G82" i="1"/>
  <c r="H82" i="1"/>
  <c r="E81" i="1"/>
  <c r="F81" i="1"/>
  <c r="G81" i="1"/>
  <c r="H81" i="1"/>
  <c r="E80" i="1"/>
  <c r="F80" i="1"/>
  <c r="G80" i="1"/>
  <c r="H80" i="1"/>
  <c r="E79" i="1"/>
  <c r="F79" i="1"/>
  <c r="G79" i="1"/>
  <c r="H79" i="1"/>
  <c r="E78" i="1"/>
  <c r="F78" i="1"/>
  <c r="G78" i="1"/>
  <c r="H78" i="1"/>
  <c r="E77" i="1"/>
  <c r="F77" i="1"/>
  <c r="G77" i="1"/>
  <c r="H77" i="1"/>
  <c r="E76" i="1"/>
  <c r="F76" i="1"/>
  <c r="G76" i="1"/>
  <c r="H76" i="1"/>
  <c r="E75" i="1"/>
  <c r="F75" i="1"/>
  <c r="G75" i="1"/>
  <c r="H75" i="1"/>
  <c r="E74" i="1"/>
  <c r="F74" i="1"/>
  <c r="G74" i="1"/>
  <c r="H74" i="1"/>
  <c r="E73" i="1"/>
  <c r="F73" i="1"/>
  <c r="G73" i="1"/>
  <c r="H73" i="1"/>
  <c r="E72" i="1"/>
  <c r="F72" i="1"/>
  <c r="G72" i="1"/>
  <c r="H72" i="1"/>
  <c r="E71" i="1"/>
  <c r="F71" i="1"/>
  <c r="G71" i="1"/>
  <c r="H71" i="1"/>
  <c r="E70" i="1"/>
  <c r="F70" i="1"/>
  <c r="G70" i="1"/>
  <c r="H70" i="1"/>
  <c r="E69" i="1"/>
  <c r="F69" i="1"/>
  <c r="G69" i="1"/>
  <c r="H69" i="1"/>
  <c r="E68" i="1"/>
  <c r="F68" i="1"/>
  <c r="G68" i="1"/>
  <c r="H68" i="1"/>
  <c r="E67" i="1"/>
  <c r="F67" i="1"/>
  <c r="G67" i="1"/>
  <c r="H67" i="1"/>
  <c r="E66" i="1"/>
  <c r="F66" i="1"/>
  <c r="G66" i="1"/>
  <c r="H66" i="1"/>
  <c r="E65" i="1"/>
  <c r="F65" i="1"/>
  <c r="G65" i="1"/>
  <c r="H65" i="1"/>
  <c r="E64" i="1"/>
  <c r="F64" i="1"/>
  <c r="G64" i="1"/>
  <c r="H64" i="1"/>
  <c r="E63" i="1"/>
  <c r="F63" i="1"/>
  <c r="G63" i="1"/>
  <c r="H63" i="1"/>
  <c r="E62" i="1"/>
  <c r="F62" i="1"/>
  <c r="G62" i="1"/>
  <c r="H62" i="1"/>
  <c r="E61" i="1"/>
  <c r="F61" i="1"/>
  <c r="G61" i="1"/>
  <c r="H61" i="1"/>
  <c r="E60" i="1"/>
  <c r="F60" i="1"/>
  <c r="G60" i="1"/>
  <c r="H60" i="1"/>
  <c r="E59" i="1"/>
  <c r="F59" i="1"/>
  <c r="G59" i="1"/>
  <c r="H59" i="1"/>
  <c r="E58" i="1"/>
  <c r="F58" i="1"/>
  <c r="G58" i="1"/>
  <c r="H58" i="1"/>
  <c r="E57" i="1"/>
  <c r="F57" i="1"/>
  <c r="G57" i="1"/>
  <c r="H57" i="1"/>
  <c r="E56" i="1"/>
  <c r="F56" i="1"/>
  <c r="G56" i="1"/>
  <c r="H56" i="1"/>
  <c r="E55" i="1"/>
  <c r="F55" i="1"/>
  <c r="G55" i="1"/>
  <c r="H55" i="1"/>
  <c r="E54" i="1"/>
  <c r="F54" i="1"/>
  <c r="G54" i="1"/>
  <c r="H54" i="1"/>
  <c r="E51" i="1"/>
  <c r="F51" i="1"/>
  <c r="G51" i="1"/>
  <c r="H51" i="1"/>
  <c r="E50" i="1"/>
  <c r="F50" i="1"/>
  <c r="G50" i="1"/>
  <c r="H50" i="1"/>
  <c r="E49" i="1"/>
  <c r="F49" i="1"/>
  <c r="G49" i="1"/>
  <c r="H49" i="1"/>
  <c r="E48" i="1"/>
  <c r="F48" i="1"/>
  <c r="G48" i="1"/>
  <c r="H48" i="1"/>
  <c r="E47" i="1"/>
  <c r="F47" i="1"/>
  <c r="G47" i="1"/>
  <c r="H47" i="1"/>
  <c r="E46" i="1"/>
  <c r="F46" i="1"/>
  <c r="G46" i="1"/>
  <c r="H46" i="1"/>
  <c r="E45" i="1"/>
  <c r="F45" i="1"/>
  <c r="G45" i="1"/>
  <c r="H45" i="1"/>
  <c r="E44" i="1"/>
  <c r="F44" i="1"/>
  <c r="G44" i="1"/>
  <c r="H44" i="1"/>
  <c r="E43" i="1"/>
  <c r="F43" i="1"/>
  <c r="G43" i="1"/>
  <c r="H43" i="1"/>
  <c r="E42" i="1"/>
  <c r="F42" i="1"/>
  <c r="G42" i="1"/>
  <c r="H42" i="1"/>
  <c r="E41" i="1"/>
  <c r="F41" i="1"/>
  <c r="G41" i="1"/>
  <c r="H41" i="1"/>
  <c r="E40" i="1"/>
  <c r="F40" i="1"/>
  <c r="G40" i="1"/>
  <c r="H40" i="1"/>
  <c r="E39" i="1"/>
  <c r="F39" i="1"/>
  <c r="G39" i="1"/>
  <c r="H39" i="1"/>
  <c r="E38" i="1"/>
  <c r="F38" i="1"/>
  <c r="G38" i="1"/>
  <c r="H38" i="1"/>
  <c r="E37" i="1"/>
  <c r="F37" i="1"/>
  <c r="G37" i="1"/>
  <c r="H37" i="1"/>
  <c r="E36" i="1"/>
  <c r="F36" i="1"/>
  <c r="G36" i="1"/>
  <c r="H36" i="1"/>
  <c r="E28" i="1"/>
  <c r="F28" i="1"/>
  <c r="G28" i="1"/>
  <c r="H28" i="1"/>
  <c r="E23" i="1"/>
  <c r="F23" i="1"/>
  <c r="G23" i="1"/>
  <c r="H23" i="1"/>
  <c r="E31" i="1"/>
  <c r="F31" i="1"/>
  <c r="G31" i="1"/>
  <c r="H31" i="1"/>
  <c r="E30" i="1"/>
  <c r="F30" i="1"/>
  <c r="G30" i="1"/>
  <c r="H30" i="1"/>
  <c r="E29" i="1"/>
  <c r="F29" i="1"/>
  <c r="G29" i="1"/>
  <c r="H29" i="1"/>
  <c r="E27" i="1"/>
  <c r="F27" i="1"/>
  <c r="G27" i="1"/>
  <c r="H27" i="1"/>
  <c r="E26" i="1"/>
  <c r="F26" i="1"/>
  <c r="G26" i="1"/>
  <c r="H26" i="1"/>
  <c r="E12" i="2"/>
  <c r="E9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E13" i="2"/>
  <c r="E10" i="2"/>
  <c r="E11" i="2"/>
  <c r="M78" i="1"/>
  <c r="E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<sst xmlns="http://schemas.openxmlformats.org/spreadsheetml/2006/main" count="124" uniqueCount="75">
  <si>
    <t>Nome da Skin</t>
  </si>
  <si>
    <t>Preço de Compra (R$)</t>
  </si>
  <si>
    <t>Preço de Venda Bruto (R$)</t>
  </si>
  <si>
    <t>Taxa (6%)</t>
  </si>
  <si>
    <t>Receita Líquida (R$)</t>
  </si>
  <si>
    <t>Lucro (R$)</t>
  </si>
  <si>
    <t>ROI (%)</t>
  </si>
  <si>
    <t>LUCRO TOTAL</t>
  </si>
  <si>
    <t>Preço de Compra</t>
  </si>
  <si>
    <t>Preço de Venda Bruto</t>
  </si>
  <si>
    <t>Receita Líquida</t>
  </si>
  <si>
    <t>Lucro</t>
  </si>
  <si>
    <t>Categoria</t>
  </si>
  <si>
    <t>Knives</t>
  </si>
  <si>
    <t>Sticker</t>
  </si>
  <si>
    <t>Pistol</t>
  </si>
  <si>
    <t>Rifles</t>
  </si>
  <si>
    <t>Sniper</t>
  </si>
  <si>
    <t>SMG</t>
  </si>
  <si>
    <t>Lucro Total</t>
  </si>
  <si>
    <t>Gloves</t>
  </si>
  <si>
    <t>Skin com maior lucro</t>
  </si>
  <si>
    <t>Valor</t>
  </si>
  <si>
    <t>Survival Marble Fade</t>
  </si>
  <si>
    <t>Survival Rust Coat</t>
  </si>
  <si>
    <t>Ak Inheritance</t>
  </si>
  <si>
    <t>Sticker Fallen Gold</t>
  </si>
  <si>
    <t>Sticker Fallen Holo</t>
  </si>
  <si>
    <t>Nomad Rust Coat</t>
  </si>
  <si>
    <t>M4a1 Vaporwave</t>
  </si>
  <si>
    <t>M4a4 Polysoup</t>
  </si>
  <si>
    <t>Awp Redline Ft St</t>
  </si>
  <si>
    <t>Souvenir Charm Strikes Back</t>
  </si>
  <si>
    <t>Mac Neon Rider</t>
  </si>
  <si>
    <t>Mp9 Starlight Protector</t>
  </si>
  <si>
    <t>Famas Bad Trip</t>
  </si>
  <si>
    <t>Ssg Dragonfire</t>
  </si>
  <si>
    <t>M4a1 Cyrex</t>
  </si>
  <si>
    <t>Bizon Anubis</t>
  </si>
  <si>
    <t>Famas Mecha</t>
  </si>
  <si>
    <t>Awp Man O War</t>
  </si>
  <si>
    <t>Ak The Empress</t>
  </si>
  <si>
    <t>P250 See Ya Later</t>
  </si>
  <si>
    <t>Eagle Conspiracy</t>
  </si>
  <si>
    <t>P90 Trigon</t>
  </si>
  <si>
    <t>M4a1 Leaded Glass</t>
  </si>
  <si>
    <t>P250 Muertos</t>
  </si>
  <si>
    <t>Berettas Melondrama</t>
  </si>
  <si>
    <t>Eagle Printstream</t>
  </si>
  <si>
    <t>Galil Eco</t>
  </si>
  <si>
    <t>Bayonet Doppler Phase 2</t>
  </si>
  <si>
    <t>Awp Cmyk</t>
  </si>
  <si>
    <t>Falchion Lore</t>
  </si>
  <si>
    <t>M9 Lore</t>
  </si>
  <si>
    <t>Ak Nightwish</t>
  </si>
  <si>
    <t>Awp Black Nile</t>
  </si>
  <si>
    <t>P250 Apeps Curse</t>
  </si>
  <si>
    <t>Famas Waters Nephtys</t>
  </si>
  <si>
    <t>Gloves Crimson Web</t>
  </si>
  <si>
    <t>Bayonet Marble Fade</t>
  </si>
  <si>
    <t>Glock Axia</t>
  </si>
  <si>
    <t>Classic Crimson Web</t>
  </si>
  <si>
    <t>Eagle Heat Treated</t>
  </si>
  <si>
    <t>Mp7 Fade</t>
  </si>
  <si>
    <t>M4a4 Temukau</t>
  </si>
  <si>
    <t>Gloves Mogul</t>
  </si>
  <si>
    <t>Eagle Cobalt Disruption</t>
  </si>
  <si>
    <t>Usp Printstream</t>
  </si>
  <si>
    <t>Butterfly Freehand</t>
  </si>
  <si>
    <t>Skeleton Tiger Tooth</t>
  </si>
  <si>
    <t>Ak B The Monster</t>
  </si>
  <si>
    <t>M4a1-S Fade</t>
  </si>
  <si>
    <t>Paracord Fade</t>
  </si>
  <si>
    <t>Glove Brocade Cane</t>
  </si>
  <si>
    <t>Skin com maior prejuizo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</si>
</sst>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&quot;R$&quot;\ #,##0"/>
    <numFmt numFmtId="166" formatCode="#,##0.0"/>
    <numFmt numFmtId="167" formatCode="\R&quot;R$&quot;\ #.##000"/>
    <numFmt numFmtId="168" formatCode="#,#00&quot;%&quot;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" fontId="0" fillId="0" borderId="0" xfId="0" applyNumberFormat="1" applyAlignment="1">
      <alignment wrapText="1"/>
    </xf>
    <xf numFmtId="0" fontId="4" fillId="0" borderId="0" xfId="0" applyFont="1"/>
    <xf numFmtId="0" fontId="5" fillId="2" borderId="0" xfId="0" applyFont="1" applyFill="1"/>
    <xf numFmtId="164" fontId="5" fillId="2" borderId="0" xfId="0" applyNumberFormat="1" applyFont="1" applyFill="1"/>
    <xf numFmtId="164" fontId="0" fillId="0" borderId="0" xfId="0" applyNumberFormat="1"/>
    <xf numFmtId="4" fontId="5" fillId="2" borderId="0" xfId="0" applyNumberFormat="1" applyFont="1" applyFill="1"/>
    <xf numFmtId="4" fontId="0" fillId="0" borderId="0" xfId="0" applyNumberFormat="1"/>
    <xf numFmtId="1" fontId="5" fillId="2" borderId="0" xfId="0" applyNumberFormat="1" applyFont="1" applyFill="1"/>
    <xf numFmtId="165" fontId="5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166" fontId="0" fillId="0" borderId="0" xfId="0" applyNumberFormat="1"/>
    <xf numFmtId="0" fontId="0" fillId="3" borderId="0" xfId="0" applyFill="1"/>
    <xf numFmtId="0" fontId="5" fillId="3" borderId="0" xfId="0" applyFont="1" applyFill="1"/>
    <xf numFmtId="0" fontId="6" fillId="3" borderId="0" xfId="0" applyFont="1" applyFill="1"/>
    <xf numFmtId="167" fontId="6" fillId="3" borderId="0" xfId="0" applyNumberFormat="1" applyFont="1" applyFill="1"/>
    <xf numFmtId="168" fontId="6" fillId="3" borderId="0" xfId="0" applyNumberFormat="1" applyFont="1" applyFill="1"/>
    <xf numFmtId="0" fontId="0" fillId="3" borderId="1" xfId="0" applyFill="1" applyBorder="1"/>
    <xf numFmtId="164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Total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Planilha1!$O$6</c:f>
              <c:strCache>
                <c:ptCount val="1"/>
                <c:pt idx="0">
                  <c:v>Lucro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Planilha1!$N$7:$N$13</c:f>
              <c:strCache>
                <c:ptCount val="7"/>
                <c:pt idx="0">
                  <c:v>Knives</c:v>
                </c:pt>
                <c:pt idx="1">
                  <c:v>Gloves</c:v>
                </c:pt>
                <c:pt idx="2">
                  <c:v>Sticker</c:v>
                </c:pt>
                <c:pt idx="3">
                  <c:v>Rifles</c:v>
                </c:pt>
                <c:pt idx="4">
                  <c:v>Sniper</c:v>
                </c:pt>
                <c:pt idx="5">
                  <c:v>Pistol</c:v>
                </c:pt>
                <c:pt idx="6">
                  <c:v>SMG</c:v>
                </c:pt>
              </c:strCache>
            </c:strRef>
          </c:cat>
          <c:val>
            <c:numRef>
              <c:f>Planilha1!$O$7:$O$13</c:f>
              <c:numCache>
                <c:formatCode>\R"R$"\ #.##000</c:formatCode>
                <c:ptCount val="7"/>
                <c:pt idx="0">
                  <c:v>1992.68</c:v>
                </c:pt>
                <c:pt idx="1">
                  <c:v>119.01999999999998</c:v>
                </c:pt>
                <c:pt idx="2">
                  <c:v>1082.8399999999999</c:v>
                </c:pt>
                <c:pt idx="3">
                  <c:v>920.02</c:v>
                </c:pt>
                <c:pt idx="4">
                  <c:v>2489.1999999999998</c:v>
                </c:pt>
                <c:pt idx="5">
                  <c:v>1797.1400000000003</c:v>
                </c:pt>
                <c:pt idx="6">
                  <c:v>1500.6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3-40B0-B088-2B1D0948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832192"/>
        <c:axId val="348837472"/>
      </c:barChart>
      <c:catAx>
        <c:axId val="34883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Categoria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837472"/>
        <c:crosses val="autoZero"/>
        <c:auto val="1"/>
        <c:lblAlgn val="ctr"/>
        <c:lblOffset val="100"/>
        <c:noMultiLvlLbl val="0"/>
      </c:catAx>
      <c:valAx>
        <c:axId val="348837472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Lucro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83219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(%)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Planilha1!$P$6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Planilha1!$N$7:$N$13</c:f>
              <c:strCache>
                <c:ptCount val="7"/>
                <c:pt idx="0">
                  <c:v>Knives</c:v>
                </c:pt>
                <c:pt idx="1">
                  <c:v>Gloves</c:v>
                </c:pt>
                <c:pt idx="2">
                  <c:v>Sticker</c:v>
                </c:pt>
                <c:pt idx="3">
                  <c:v>Rifles</c:v>
                </c:pt>
                <c:pt idx="4">
                  <c:v>Sniper</c:v>
                </c:pt>
                <c:pt idx="5">
                  <c:v>Pistol</c:v>
                </c:pt>
                <c:pt idx="6">
                  <c:v>SMG</c:v>
                </c:pt>
              </c:strCache>
            </c:strRef>
          </c:cat>
          <c:val>
            <c:numRef>
              <c:f>Planilha1!$P$7:$P$13</c:f>
              <c:numCache>
                <c:formatCode>#,#00"%"</c:formatCode>
                <c:ptCount val="7"/>
                <c:pt idx="0">
                  <c:v>7.0775350736991651</c:v>
                </c:pt>
                <c:pt idx="1">
                  <c:v>4.8579591836734686</c:v>
                </c:pt>
                <c:pt idx="2">
                  <c:v>83.23136049192928</c:v>
                </c:pt>
                <c:pt idx="3">
                  <c:v>6.8905032953864591</c:v>
                </c:pt>
                <c:pt idx="4">
                  <c:v>39.046274509803922</c:v>
                </c:pt>
                <c:pt idx="5">
                  <c:v>44.26453201970444</c:v>
                </c:pt>
                <c:pt idx="6">
                  <c:v>248.03305785123965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4-434F-A3D6-CD077B101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6218016"/>
        <c:axId val="916216096"/>
      </c:barChart>
      <c:catAx>
        <c:axId val="91621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216096"/>
        <c:crosses val="autoZero"/>
        <c:auto val="1"/>
        <c:lblAlgn val="ctr"/>
        <c:lblOffset val="100"/>
        <c:noMultiLvlLbl val="0"/>
      </c:catAx>
      <c:valAx>
        <c:axId val="91621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21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2</xdr:row>
      <xdr:rowOff>161925</xdr:rowOff>
    </xdr:from>
    <xdr:to>
      <xdr:col>18</xdr:col>
      <xdr:colOff>171450</xdr:colOff>
      <xdr:row>17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EB646A-3E18-5FAE-98FC-FE11E0E3F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18</xdr:row>
      <xdr:rowOff>0</xdr:rowOff>
    </xdr:from>
    <xdr:to>
      <xdr:col>18</xdr:col>
      <xdr:colOff>171450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B8248B-0862-932D-9979-605B7C0E7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D1" workbookViewId="0">
      <pane ySplit="1" topLeftCell="A61" activePane="bottomLeft" state="frozen"/>
      <selection activeCell="E1" sqref="E1"/>
      <selection pane="bottomLeft" activeCell="G119" sqref="G119"/>
    </sheetView>
  </sheetViews>
  <sheetFormatPr defaultRowHeight="15" x14ac:dyDescent="0.25"/>
  <cols>
    <col min="1" max="1" width="25" customWidth="1"/>
    <col min="2" max="2" width="15.28515625" customWidth="1"/>
    <col min="3" max="3" width="20" style="16" customWidth="1"/>
    <col min="4" max="4" width="25" style="16" customWidth="1"/>
    <col min="5" max="5" width="15" style="11" customWidth="1"/>
    <col min="6" max="6" width="22" style="13" customWidth="1"/>
    <col min="7" max="7" width="15" style="13" customWidth="1"/>
    <col min="8" max="8" width="10" style="2" customWidth="1"/>
    <col min="12" max="12" width="13.140625" bestFit="1" customWidth="1"/>
    <col min="13" max="13" width="10.7109375" bestFit="1" customWidth="1"/>
  </cols>
  <sheetData>
    <row r="1" spans="1:14" x14ac:dyDescent="0.25">
      <c r="A1" s="9" t="s">
        <v>0</v>
      </c>
      <c r="B1" s="9" t="s">
        <v>12</v>
      </c>
      <c r="C1" s="15" t="s">
        <v>1</v>
      </c>
      <c r="D1" s="15" t="s">
        <v>2</v>
      </c>
      <c r="E1" s="10" t="s">
        <v>3</v>
      </c>
      <c r="F1" s="12" t="s">
        <v>4</v>
      </c>
      <c r="G1" s="12" t="s">
        <v>5</v>
      </c>
      <c r="H1" s="14" t="s">
        <v>6</v>
      </c>
    </row>
    <row r="2" spans="1:14" x14ac:dyDescent="0.25">
      <c r="A2" s="1" t="s">
        <v>23</v>
      </c>
      <c r="B2" s="18" t="str" cm="1">
        <f t="array" ref="B2">_xlfn.IFS(OR(ISNUMBER(SEARCH("survival",A2)),ISNUMBER(SEARCH("nomad",A2)),ISNUMBER(SEARCH("bayonet",A2)),ISNUMBER(SEARCH("falchion",A2)),ISNUMBER(SEARCH("m9 ",A2)),ISNUMBER(SEARCH("butterfly",A2)),ISNUMBER(SEARCH("skeleton",A2)),ISNUMBER(SEARCH("paracord",A2)),ISNUMBER(SEARCH("classic",A2))), "Knives", OR(ISNUMBER(SEARCH("glove",A2))), "Gloves", OR(ISNUMBER(SEARCH("sticker",A2)),AND(ISNUMBER(SEARCH("fallen",A2)),NOT(ISNUMBER(SEARCH("awp",A2))),NOT(ISNUMBER(SEARCH("ak",A2))))), "Sticker", OR(ISNUMBER(SEARCH("ak ",A2)),ISNUMBER(SEARCH("ak-",A2)),ISNUMBER(SEARCH("m4a1",A2)),ISNUMBER(SEARCH("m4a4",A2)),ISNUMBER(SEARCH("galil",A2)),ISNUMBER(SEARCH("famas",A2))), "Rifles", OR(ISNUMBER(SEARCH("awp",A2)),ISNUMBER(SEARCH("ssg",A2))), "Sniper", OR(ISNUMBER(SEARCH("usp",A2)),ISNUMBER(SEARCH("glock",A2)),ISNUMBER(SEARCH("eagle",A2)),ISNUMBER(SEARCH("p250",A2)),ISNUMBER(SEARCH("berettas",A2))), "Pistol", TRUE, "SMG")</f>
        <v>Knives</v>
      </c>
      <c r="C2" s="16">
        <v>1215</v>
      </c>
      <c r="D2" s="16">
        <v>1500</v>
      </c>
      <c r="E2" s="11">
        <f t="shared" ref="E2:E13" si="0">IF(D2&gt;0, D2*0.06, "")</f>
        <v>90</v>
      </c>
      <c r="F2" s="13">
        <f t="shared" ref="F2:F13" si="1">IF(D2&gt;0, D2-E2, "")</f>
        <v>1410</v>
      </c>
      <c r="G2" s="13">
        <f t="shared" ref="G2:G22" si="2">IF(AND(C2&gt;0,F2&gt;0), F2-C2, "")</f>
        <v>195</v>
      </c>
      <c r="H2" s="2">
        <f>IF(C2&gt;0, ROUND(G2/C2*100, 0), "")</f>
        <v>16</v>
      </c>
    </row>
    <row r="3" spans="1:14" x14ac:dyDescent="0.25">
      <c r="A3" t="s">
        <v>24</v>
      </c>
      <c r="B3" s="17" t="str" cm="1">
        <f t="array" ref="B3">_xlfn.IFS(OR(ISNUMBER(SEARCH("survival",A3)),ISNUMBER(SEARCH("nomad",A3)),ISNUMBER(SEARCH("bayonet",A3)),ISNUMBER(SEARCH("falchion",A3)),ISNUMBER(SEARCH("m9 ",A3)),ISNUMBER(SEARCH("butterfly",A3)),ISNUMBER(SEARCH("skeleton",A3)),ISNUMBER(SEARCH("paracord",A3)),ISNUMBER(SEARCH("classic",A3))), "Knives", OR(ISNUMBER(SEARCH("glove",A3))), "Gloves", OR(ISNUMBER(SEARCH("sticker",A3)),AND(ISNUMBER(SEARCH("fallen",A3)),NOT(ISNUMBER(SEARCH("awp",A3))),NOT(ISNUMBER(SEARCH("ak",A3))))), "Sticker", OR(ISNUMBER(SEARCH("ak ",A3)),ISNUMBER(SEARCH("ak-",A3)),ISNUMBER(SEARCH("m4a1",A3)),ISNUMBER(SEARCH("m4a4",A3)),ISNUMBER(SEARCH("galil",A3)),ISNUMBER(SEARCH("famas",A3))), "Rifles", OR(ISNUMBER(SEARCH("awp",A3)),ISNUMBER(SEARCH("ssg",A3))), "Sniper", OR(ISNUMBER(SEARCH("usp",A3)),ISNUMBER(SEARCH("glock",A3)),ISNUMBER(SEARCH("eagle",A3)),ISNUMBER(SEARCH("p250",A3)),ISNUMBER(SEARCH("berettas",A3))), "Pistol", TRUE, "SMG")</f>
        <v>Knives</v>
      </c>
      <c r="C3" s="16">
        <v>490</v>
      </c>
      <c r="D3" s="16">
        <v>600</v>
      </c>
      <c r="E3" s="11">
        <f t="shared" si="0"/>
        <v>36</v>
      </c>
      <c r="F3" s="13">
        <f t="shared" si="1"/>
        <v>564</v>
      </c>
      <c r="G3" s="13">
        <f t="shared" si="2"/>
        <v>74</v>
      </c>
      <c r="H3" s="2">
        <f>IF(C3&gt;0, ROUND(G3/C3*100, 0), "")</f>
        <v>15</v>
      </c>
    </row>
    <row r="4" spans="1:14" x14ac:dyDescent="0.25">
      <c r="A4" t="s">
        <v>25</v>
      </c>
      <c r="B4" s="17" t="str" cm="1">
        <f t="array" ref="B4">_xlfn.IFS(OR(ISNUMBER(SEARCH("survival",A4)),ISNUMBER(SEARCH("nomad",A4)),ISNUMBER(SEARCH("bayonet",A4)),ISNUMBER(SEARCH("falchion",A4)),ISNUMBER(SEARCH("m9 ",A4)),ISNUMBER(SEARCH("butterfly",A4)),ISNUMBER(SEARCH("skeleton",A4)),ISNUMBER(SEARCH("paracord",A4)),ISNUMBER(SEARCH("classic",A4))), "Knives", OR(ISNUMBER(SEARCH("glove",A4))), "Gloves", OR(ISNUMBER(SEARCH("sticker",A4)),AND(ISNUMBER(SEARCH("fallen",A4)),NOT(ISNUMBER(SEARCH("awp",A4))),NOT(ISNUMBER(SEARCH("ak",A4))))), "Sticker", OR(ISNUMBER(SEARCH("ak ",A4)),ISNUMBER(SEARCH("ak-",A4)),ISNUMBER(SEARCH("m4a1",A4)),ISNUMBER(SEARCH("m4a4",A4)),ISNUMBER(SEARCH("galil",A4)),ISNUMBER(SEARCH("famas",A4))), "Rifles", OR(ISNUMBER(SEARCH("awp",A4)),ISNUMBER(SEARCH("ssg",A4))), "Sniper", OR(ISNUMBER(SEARCH("usp",A4)),ISNUMBER(SEARCH("glock",A4)),ISNUMBER(SEARCH("eagle",A4)),ISNUMBER(SEARCH("p250",A4)),ISNUMBER(SEARCH("berettas",A4))), "Pistol", TRUE, "SMG")</f>
        <v>Rifles</v>
      </c>
      <c r="C4" s="16">
        <v>315</v>
      </c>
      <c r="D4" s="16">
        <v>385</v>
      </c>
      <c r="E4" s="11">
        <f t="shared" si="0"/>
        <v>23.099999999999998</v>
      </c>
      <c r="F4" s="13">
        <f t="shared" si="1"/>
        <v>361.9</v>
      </c>
      <c r="G4" s="13">
        <f t="shared" si="2"/>
        <v>46.899999999999977</v>
      </c>
      <c r="H4" s="2">
        <f t="shared" ref="H4:H22" si="3">IF(C4&gt;0, G4/C4*100, "")</f>
        <v>14.888888888888882</v>
      </c>
    </row>
    <row r="5" spans="1:14" x14ac:dyDescent="0.25">
      <c r="A5" s="1" t="s">
        <v>26</v>
      </c>
      <c r="B5" s="18" t="str" cm="1">
        <f t="array" ref="B5">_xlfn.IFS(OR(ISNUMBER(SEARCH("survival",A5)),ISNUMBER(SEARCH("nomad",A5)),ISNUMBER(SEARCH("bayonet",A5)),ISNUMBER(SEARCH("falchion",A5)),ISNUMBER(SEARCH("m9 ",A5)),ISNUMBER(SEARCH("butterfly",A5)),ISNUMBER(SEARCH("skeleton",A5)),ISNUMBER(SEARCH("paracord",A5)),ISNUMBER(SEARCH("classic",A5))), "Knives", OR(ISNUMBER(SEARCH("glove",A5))), "Gloves", OR(ISNUMBER(SEARCH("sticker",A5)),AND(ISNUMBER(SEARCH("fallen",A5)),NOT(ISNUMBER(SEARCH("awp",A5))),NOT(ISNUMBER(SEARCH("ak",A5))))), "Sticker", OR(ISNUMBER(SEARCH("ak ",A5)),ISNUMBER(SEARCH("ak-",A5)),ISNUMBER(SEARCH("m4a1",A5)),ISNUMBER(SEARCH("m4a4",A5)),ISNUMBER(SEARCH("galil",A5)),ISNUMBER(SEARCH("famas",A5))), "Rifles", OR(ISNUMBER(SEARCH("awp",A5)),ISNUMBER(SEARCH("ssg",A5))), "Sniper", OR(ISNUMBER(SEARCH("usp",A5)),ISNUMBER(SEARCH("glock",A5)),ISNUMBER(SEARCH("eagle",A5)),ISNUMBER(SEARCH("p250",A5)),ISNUMBER(SEARCH("berettas",A5))), "Pistol", TRUE, "SMG")</f>
        <v>Sticker</v>
      </c>
      <c r="C5" s="16">
        <v>42</v>
      </c>
      <c r="D5" s="16">
        <v>94</v>
      </c>
      <c r="E5" s="11">
        <f t="shared" si="0"/>
        <v>5.64</v>
      </c>
      <c r="F5" s="13">
        <f t="shared" si="1"/>
        <v>88.36</v>
      </c>
      <c r="G5" s="13">
        <f t="shared" si="2"/>
        <v>46.36</v>
      </c>
      <c r="H5" s="2">
        <f t="shared" si="3"/>
        <v>110.38095238095238</v>
      </c>
      <c r="N5" s="4"/>
    </row>
    <row r="6" spans="1:14" x14ac:dyDescent="0.25">
      <c r="A6" t="s">
        <v>26</v>
      </c>
      <c r="B6" s="17" t="str" cm="1">
        <f t="array" ref="B6">_xlfn.IFS(OR(ISNUMBER(SEARCH("survival",A6)),ISNUMBER(SEARCH("nomad",A6)),ISNUMBER(SEARCH("bayonet",A6)),ISNUMBER(SEARCH("falchion",A6)),ISNUMBER(SEARCH("m9 ",A6)),ISNUMBER(SEARCH("butterfly",A6)),ISNUMBER(SEARCH("skeleton",A6)),ISNUMBER(SEARCH("paracord",A6)),ISNUMBER(SEARCH("classic",A6))), "Knives", OR(ISNUMBER(SEARCH("glove",A6))), "Gloves", OR(ISNUMBER(SEARCH("sticker",A6)),AND(ISNUMBER(SEARCH("fallen",A6)),NOT(ISNUMBER(SEARCH("awp",A6))),NOT(ISNUMBER(SEARCH("ak",A6))))), "Sticker", OR(ISNUMBER(SEARCH("ak ",A6)),ISNUMBER(SEARCH("ak-",A6)),ISNUMBER(SEARCH("m4a1",A6)),ISNUMBER(SEARCH("m4a4",A6)),ISNUMBER(SEARCH("galil",A6)),ISNUMBER(SEARCH("famas",A6))), "Rifles", OR(ISNUMBER(SEARCH("awp",A6)),ISNUMBER(SEARCH("ssg",A6))), "Sniper", OR(ISNUMBER(SEARCH("usp",A6)),ISNUMBER(SEARCH("glock",A6)),ISNUMBER(SEARCH("eagle",A6)),ISNUMBER(SEARCH("p250",A6)),ISNUMBER(SEARCH("berettas",A6))), "Pistol", TRUE, "SMG")</f>
        <v>Sticker</v>
      </c>
      <c r="C6" s="16">
        <v>42</v>
      </c>
      <c r="D6" s="16">
        <v>94</v>
      </c>
      <c r="E6" s="11">
        <f t="shared" si="0"/>
        <v>5.64</v>
      </c>
      <c r="F6" s="13">
        <f t="shared" si="1"/>
        <v>88.36</v>
      </c>
      <c r="G6" s="13">
        <f t="shared" si="2"/>
        <v>46.36</v>
      </c>
      <c r="H6" s="2">
        <f t="shared" si="3"/>
        <v>110.38095238095238</v>
      </c>
      <c r="N6" s="4"/>
    </row>
    <row r="7" spans="1:14" x14ac:dyDescent="0.25">
      <c r="A7" t="s">
        <v>26</v>
      </c>
      <c r="B7" s="17" t="str" cm="1">
        <f t="array" ref="B7">_xlfn.IFS(OR(ISNUMBER(SEARCH("survival",A7)),ISNUMBER(SEARCH("nomad",A7)),ISNUMBER(SEARCH("bayonet",A7)),ISNUMBER(SEARCH("falchion",A7)),ISNUMBER(SEARCH("m9 ",A7)),ISNUMBER(SEARCH("butterfly",A7)),ISNUMBER(SEARCH("skeleton",A7)),ISNUMBER(SEARCH("paracord",A7)),ISNUMBER(SEARCH("classic",A7))), "Knives", OR(ISNUMBER(SEARCH("glove",A7))), "Gloves", OR(ISNUMBER(SEARCH("sticker",A7)),AND(ISNUMBER(SEARCH("fallen",A7)),NOT(ISNUMBER(SEARCH("awp",A7))),NOT(ISNUMBER(SEARCH("ak",A7))))), "Sticker", OR(ISNUMBER(SEARCH("ak ",A7)),ISNUMBER(SEARCH("ak-",A7)),ISNUMBER(SEARCH("m4a1",A7)),ISNUMBER(SEARCH("m4a4",A7)),ISNUMBER(SEARCH("galil",A7)),ISNUMBER(SEARCH("famas",A7))), "Rifles", OR(ISNUMBER(SEARCH("awp",A7)),ISNUMBER(SEARCH("ssg",A7))), "Sniper", OR(ISNUMBER(SEARCH("usp",A7)),ISNUMBER(SEARCH("glock",A7)),ISNUMBER(SEARCH("eagle",A7)),ISNUMBER(SEARCH("p250",A7)),ISNUMBER(SEARCH("berettas",A7))), "Pistol", TRUE, "SMG")</f>
        <v>Sticker</v>
      </c>
      <c r="C7" s="16">
        <v>43</v>
      </c>
      <c r="D7" s="16">
        <v>96</v>
      </c>
      <c r="E7" s="11">
        <f t="shared" si="0"/>
        <v>5.76</v>
      </c>
      <c r="F7" s="13">
        <f t="shared" si="1"/>
        <v>90.24</v>
      </c>
      <c r="G7" s="13">
        <f t="shared" si="2"/>
        <v>47.239999999999995</v>
      </c>
      <c r="H7" s="2">
        <f t="shared" si="3"/>
        <v>109.86046511627904</v>
      </c>
    </row>
    <row r="8" spans="1:14" x14ac:dyDescent="0.25">
      <c r="A8" t="s">
        <v>27</v>
      </c>
      <c r="B8" s="17" t="str" cm="1">
        <f t="array" ref="B8">_xlfn.IFS(OR(ISNUMBER(SEARCH("survival",A8)),ISNUMBER(SEARCH("nomad",A8)),ISNUMBER(SEARCH("bayonet",A8)),ISNUMBER(SEARCH("falchion",A8)),ISNUMBER(SEARCH("m9 ",A8)),ISNUMBER(SEARCH("butterfly",A8)),ISNUMBER(SEARCH("skeleton",A8)),ISNUMBER(SEARCH("paracord",A8)),ISNUMBER(SEARCH("classic",A8))), "Knives", OR(ISNUMBER(SEARCH("glove",A8))), "Gloves", OR(ISNUMBER(SEARCH("sticker",A8)),AND(ISNUMBER(SEARCH("fallen",A8)),NOT(ISNUMBER(SEARCH("awp",A8))),NOT(ISNUMBER(SEARCH("ak",A8))))), "Sticker", OR(ISNUMBER(SEARCH("ak ",A8)),ISNUMBER(SEARCH("ak-",A8)),ISNUMBER(SEARCH("m4a1",A8)),ISNUMBER(SEARCH("m4a4",A8)),ISNUMBER(SEARCH("galil",A8)),ISNUMBER(SEARCH("famas",A8))), "Rifles", OR(ISNUMBER(SEARCH("awp",A8)),ISNUMBER(SEARCH("ssg",A8))), "Sniper", OR(ISNUMBER(SEARCH("usp",A8)),ISNUMBER(SEARCH("glock",A8)),ISNUMBER(SEARCH("eagle",A8)),ISNUMBER(SEARCH("p250",A8)),ISNUMBER(SEARCH("berettas",A8))), "Pistol", TRUE, "SMG")</f>
        <v>Sticker</v>
      </c>
      <c r="C8" s="16">
        <v>24</v>
      </c>
      <c r="D8" s="16">
        <v>50</v>
      </c>
      <c r="E8" s="11">
        <f t="shared" si="0"/>
        <v>3</v>
      </c>
      <c r="F8" s="13">
        <f t="shared" si="1"/>
        <v>47</v>
      </c>
      <c r="G8" s="13">
        <f t="shared" si="2"/>
        <v>23</v>
      </c>
      <c r="H8" s="2">
        <f t="shared" si="3"/>
        <v>95.833333333333343</v>
      </c>
    </row>
    <row r="9" spans="1:14" x14ac:dyDescent="0.25">
      <c r="A9" s="3" t="s">
        <v>27</v>
      </c>
      <c r="B9" s="19" t="str" cm="1">
        <f t="array" ref="B9">_xlfn.IFS(OR(ISNUMBER(SEARCH("survival",A9)),ISNUMBER(SEARCH("nomad",A9)),ISNUMBER(SEARCH("bayonet",A9)),ISNUMBER(SEARCH("falchion",A9)),ISNUMBER(SEARCH("m9 ",A9)),ISNUMBER(SEARCH("butterfly",A9)),ISNUMBER(SEARCH("skeleton",A9)),ISNUMBER(SEARCH("paracord",A9)),ISNUMBER(SEARCH("classic",A9))), "Knives", OR(ISNUMBER(SEARCH("glove",A9))), "Gloves", OR(ISNUMBER(SEARCH("sticker",A9)),AND(ISNUMBER(SEARCH("fallen",A9)),NOT(ISNUMBER(SEARCH("awp",A9))),NOT(ISNUMBER(SEARCH("ak",A9))))), "Sticker", OR(ISNUMBER(SEARCH("ak ",A9)),ISNUMBER(SEARCH("ak-",A9)),ISNUMBER(SEARCH("m4a1",A9)),ISNUMBER(SEARCH("m4a4",A9)),ISNUMBER(SEARCH("galil",A9)),ISNUMBER(SEARCH("famas",A9))), "Rifles", OR(ISNUMBER(SEARCH("awp",A9)),ISNUMBER(SEARCH("ssg",A9))), "Sniper", OR(ISNUMBER(SEARCH("usp",A9)),ISNUMBER(SEARCH("glock",A9)),ISNUMBER(SEARCH("eagle",A9)),ISNUMBER(SEARCH("p250",A9)),ISNUMBER(SEARCH("berettas",A9))), "Pistol", TRUE, "SMG")</f>
        <v>Sticker</v>
      </c>
      <c r="C9" s="16">
        <v>24</v>
      </c>
      <c r="D9" s="16">
        <v>50</v>
      </c>
      <c r="E9" s="11">
        <f t="shared" si="0"/>
        <v>3</v>
      </c>
      <c r="F9" s="13">
        <f t="shared" si="1"/>
        <v>47</v>
      </c>
      <c r="G9" s="13">
        <f t="shared" si="2"/>
        <v>23</v>
      </c>
      <c r="H9" s="2">
        <f t="shared" si="3"/>
        <v>95.833333333333343</v>
      </c>
    </row>
    <row r="10" spans="1:14" x14ac:dyDescent="0.25">
      <c r="A10" s="3" t="s">
        <v>27</v>
      </c>
      <c r="B10" s="19" t="str" cm="1">
        <f t="array" ref="B10">_xlfn.IFS(OR(ISNUMBER(SEARCH("survival",A10)),ISNUMBER(SEARCH("nomad",A10)),ISNUMBER(SEARCH("bayonet",A10)),ISNUMBER(SEARCH("falchion",A10)),ISNUMBER(SEARCH("m9 ",A10)),ISNUMBER(SEARCH("butterfly",A10)),ISNUMBER(SEARCH("skeleton",A10)),ISNUMBER(SEARCH("paracord",A10)),ISNUMBER(SEARCH("classic",A10))), "Knives", OR(ISNUMBER(SEARCH("glove",A10))), "Gloves", OR(ISNUMBER(SEARCH("sticker",A10)),AND(ISNUMBER(SEARCH("fallen",A10)),NOT(ISNUMBER(SEARCH("awp",A10))),NOT(ISNUMBER(SEARCH("ak",A10))))), "Sticker", OR(ISNUMBER(SEARCH("ak ",A10)),ISNUMBER(SEARCH("ak-",A10)),ISNUMBER(SEARCH("m4a1",A10)),ISNUMBER(SEARCH("m4a4",A10)),ISNUMBER(SEARCH("galil",A10)),ISNUMBER(SEARCH("famas",A10))), "Rifles", OR(ISNUMBER(SEARCH("awp",A10)),ISNUMBER(SEARCH("ssg",A10))), "Sniper", OR(ISNUMBER(SEARCH("usp",A10)),ISNUMBER(SEARCH("glock",A10)),ISNUMBER(SEARCH("eagle",A10)),ISNUMBER(SEARCH("p250",A10)),ISNUMBER(SEARCH("berettas",A10))), "Pistol", TRUE, "SMG")</f>
        <v>Sticker</v>
      </c>
      <c r="C10" s="16">
        <v>24</v>
      </c>
      <c r="D10" s="16">
        <v>50</v>
      </c>
      <c r="E10" s="11">
        <f t="shared" si="0"/>
        <v>3</v>
      </c>
      <c r="F10" s="13">
        <f t="shared" si="1"/>
        <v>47</v>
      </c>
      <c r="G10" s="13">
        <f t="shared" si="2"/>
        <v>23</v>
      </c>
      <c r="H10" s="2">
        <f t="shared" si="3"/>
        <v>95.833333333333343</v>
      </c>
    </row>
    <row r="11" spans="1:14" x14ac:dyDescent="0.25">
      <c r="A11" s="3" t="s">
        <v>27</v>
      </c>
      <c r="B11" s="19" t="str" cm="1">
        <f t="array" ref="B11">_xlfn.IFS(OR(ISNUMBER(SEARCH("survival",A11)),ISNUMBER(SEARCH("nomad",A11)),ISNUMBER(SEARCH("bayonet",A11)),ISNUMBER(SEARCH("falchion",A11)),ISNUMBER(SEARCH("m9 ",A11)),ISNUMBER(SEARCH("butterfly",A11)),ISNUMBER(SEARCH("skeleton",A11)),ISNUMBER(SEARCH("paracord",A11)),ISNUMBER(SEARCH("classic",A11))), "Knives", OR(ISNUMBER(SEARCH("glove",A11))), "Gloves", OR(ISNUMBER(SEARCH("sticker",A11)),AND(ISNUMBER(SEARCH("fallen",A11)),NOT(ISNUMBER(SEARCH("awp",A11))),NOT(ISNUMBER(SEARCH("ak",A11))))), "Sticker", OR(ISNUMBER(SEARCH("ak ",A11)),ISNUMBER(SEARCH("ak-",A11)),ISNUMBER(SEARCH("m4a1",A11)),ISNUMBER(SEARCH("m4a4",A11)),ISNUMBER(SEARCH("galil",A11)),ISNUMBER(SEARCH("famas",A11))), "Rifles", OR(ISNUMBER(SEARCH("awp",A11)),ISNUMBER(SEARCH("ssg",A11))), "Sniper", OR(ISNUMBER(SEARCH("usp",A11)),ISNUMBER(SEARCH("glock",A11)),ISNUMBER(SEARCH("eagle",A11)),ISNUMBER(SEARCH("p250",A11)),ISNUMBER(SEARCH("berettas",A11))), "Pistol", TRUE, "SMG")</f>
        <v>Sticker</v>
      </c>
      <c r="C11" s="16">
        <v>25</v>
      </c>
      <c r="D11" s="16">
        <v>52</v>
      </c>
      <c r="E11" s="11">
        <f t="shared" si="0"/>
        <v>3.12</v>
      </c>
      <c r="F11" s="13">
        <f t="shared" si="1"/>
        <v>48.88</v>
      </c>
      <c r="G11" s="13">
        <f t="shared" si="2"/>
        <v>23.880000000000003</v>
      </c>
      <c r="H11" s="2">
        <f t="shared" si="3"/>
        <v>95.52000000000001</v>
      </c>
    </row>
    <row r="12" spans="1:14" x14ac:dyDescent="0.25">
      <c r="A12" t="s">
        <v>24</v>
      </c>
      <c r="B12" s="17" t="str" cm="1">
        <f t="array" ref="B12">_xlfn.IFS(OR(ISNUMBER(SEARCH("survival",A12)),ISNUMBER(SEARCH("nomad",A12)),ISNUMBER(SEARCH("bayonet",A12)),ISNUMBER(SEARCH("falchion",A12)),ISNUMBER(SEARCH("m9 ",A12)),ISNUMBER(SEARCH("butterfly",A12)),ISNUMBER(SEARCH("skeleton",A12)),ISNUMBER(SEARCH("paracord",A12)),ISNUMBER(SEARCH("classic",A12))), "Knives", OR(ISNUMBER(SEARCH("glove",A12))), "Gloves", OR(ISNUMBER(SEARCH("sticker",A12)),AND(ISNUMBER(SEARCH("fallen",A12)),NOT(ISNUMBER(SEARCH("awp",A12))),NOT(ISNUMBER(SEARCH("ak",A12))))), "Sticker", OR(ISNUMBER(SEARCH("ak ",A12)),ISNUMBER(SEARCH("ak-",A12)),ISNUMBER(SEARCH("m4a1",A12)),ISNUMBER(SEARCH("m4a4",A12)),ISNUMBER(SEARCH("galil",A12)),ISNUMBER(SEARCH("famas",A12))), "Rifles", OR(ISNUMBER(SEARCH("awp",A12)),ISNUMBER(SEARCH("ssg",A12))), "Sniper", OR(ISNUMBER(SEARCH("usp",A12)),ISNUMBER(SEARCH("glock",A12)),ISNUMBER(SEARCH("eagle",A12)),ISNUMBER(SEARCH("p250",A12)),ISNUMBER(SEARCH("berettas",A12))), "Pistol", TRUE, "SMG")</f>
        <v>Knives</v>
      </c>
      <c r="C12" s="16">
        <v>470</v>
      </c>
      <c r="D12" s="16">
        <v>650</v>
      </c>
      <c r="E12" s="11">
        <f t="shared" si="0"/>
        <v>39</v>
      </c>
      <c r="F12" s="13">
        <f t="shared" si="1"/>
        <v>611</v>
      </c>
      <c r="G12" s="13">
        <f t="shared" si="2"/>
        <v>141</v>
      </c>
      <c r="H12" s="2">
        <f t="shared" si="3"/>
        <v>30</v>
      </c>
    </row>
    <row r="13" spans="1:14" x14ac:dyDescent="0.25">
      <c r="A13" t="s">
        <v>24</v>
      </c>
      <c r="B13" s="17" t="str" cm="1">
        <f t="array" ref="B13">_xlfn.IFS(OR(ISNUMBER(SEARCH("survival",A13)),ISNUMBER(SEARCH("nomad",A13)),ISNUMBER(SEARCH("bayonet",A13)),ISNUMBER(SEARCH("falchion",A13)),ISNUMBER(SEARCH("m9 ",A13)),ISNUMBER(SEARCH("butterfly",A13)),ISNUMBER(SEARCH("skeleton",A13)),ISNUMBER(SEARCH("paracord",A13)),ISNUMBER(SEARCH("classic",A13))), "Knives", OR(ISNUMBER(SEARCH("glove",A13))), "Gloves", OR(ISNUMBER(SEARCH("sticker",A13)),AND(ISNUMBER(SEARCH("fallen",A13)),NOT(ISNUMBER(SEARCH("awp",A13))),NOT(ISNUMBER(SEARCH("ak",A13))))), "Sticker", OR(ISNUMBER(SEARCH("ak ",A13)),ISNUMBER(SEARCH("ak-",A13)),ISNUMBER(SEARCH("m4a1",A13)),ISNUMBER(SEARCH("m4a4",A13)),ISNUMBER(SEARCH("galil",A13)),ISNUMBER(SEARCH("famas",A13))), "Rifles", OR(ISNUMBER(SEARCH("awp",A13)),ISNUMBER(SEARCH("ssg",A13))), "Sniper", OR(ISNUMBER(SEARCH("usp",A13)),ISNUMBER(SEARCH("glock",A13)),ISNUMBER(SEARCH("eagle",A13)),ISNUMBER(SEARCH("p250",A13)),ISNUMBER(SEARCH("berettas",A13))), "Pistol", TRUE, "SMG")</f>
        <v>Knives</v>
      </c>
      <c r="C13" s="16">
        <v>470</v>
      </c>
      <c r="D13" s="16">
        <v>580</v>
      </c>
      <c r="E13" s="11">
        <f t="shared" si="0"/>
        <v>34.799999999999997</v>
      </c>
      <c r="F13" s="13">
        <f t="shared" si="1"/>
        <v>545.20000000000005</v>
      </c>
      <c r="G13" s="13">
        <f t="shared" si="2"/>
        <v>75.200000000000045</v>
      </c>
      <c r="H13" s="2">
        <f t="shared" si="3"/>
        <v>16.000000000000007</v>
      </c>
    </row>
    <row r="14" spans="1:14" x14ac:dyDescent="0.25">
      <c r="A14" t="s">
        <v>23</v>
      </c>
      <c r="B14" s="17" t="str" cm="1">
        <f t="array" ref="B14">_xlfn.IFS(OR(ISNUMBER(SEARCH("survival",A14)),ISNUMBER(SEARCH("nomad",A14)),ISNUMBER(SEARCH("bayonet",A14)),ISNUMBER(SEARCH("falchion",A14)),ISNUMBER(SEARCH("m9 ",A14)),ISNUMBER(SEARCH("butterfly",A14)),ISNUMBER(SEARCH("skeleton",A14)),ISNUMBER(SEARCH("paracord",A14)),ISNUMBER(SEARCH("classic",A14))), "Knives", OR(ISNUMBER(SEARCH("glove",A14))), "Gloves", OR(ISNUMBER(SEARCH("sticker",A14)),AND(ISNUMBER(SEARCH("fallen",A14)),NOT(ISNUMBER(SEARCH("awp",A14))),NOT(ISNUMBER(SEARCH("ak",A14))))), "Sticker", OR(ISNUMBER(SEARCH("ak ",A14)),ISNUMBER(SEARCH("ak-",A14)),ISNUMBER(SEARCH("m4a1",A14)),ISNUMBER(SEARCH("m4a4",A14)),ISNUMBER(SEARCH("galil",A14)),ISNUMBER(SEARCH("famas",A14))), "Rifles", OR(ISNUMBER(SEARCH("awp",A14)),ISNUMBER(SEARCH("ssg",A14))), "Sniper", OR(ISNUMBER(SEARCH("usp",A14)),ISNUMBER(SEARCH("glock",A14)),ISNUMBER(SEARCH("eagle",A14)),ISNUMBER(SEARCH("p250",A14)),ISNUMBER(SEARCH("berettas",A14))), "Pistol", TRUE, "SMG")</f>
        <v>Knives</v>
      </c>
      <c r="C14" s="16">
        <v>1220</v>
      </c>
      <c r="D14" s="16">
        <v>1450</v>
      </c>
      <c r="E14" s="11">
        <f t="shared" ref="E14:E22" si="4">IF(D14 &gt;0, D14 *0.06, "")</f>
        <v>87</v>
      </c>
      <c r="F14" s="13">
        <f t="shared" ref="F14:F20" si="5">IF(D14 &gt;0, D14 -E14, "")</f>
        <v>1363</v>
      </c>
      <c r="G14" s="13">
        <f t="shared" si="2"/>
        <v>143</v>
      </c>
      <c r="H14" s="2">
        <f t="shared" si="3"/>
        <v>11.721311475409836</v>
      </c>
    </row>
    <row r="15" spans="1:14" x14ac:dyDescent="0.25">
      <c r="A15" t="s">
        <v>27</v>
      </c>
      <c r="B15" s="17" t="str" cm="1">
        <f t="array" ref="B15">_xlfn.IFS(OR(ISNUMBER(SEARCH("survival",A15)),ISNUMBER(SEARCH("nomad",A15)),ISNUMBER(SEARCH("bayonet",A15)),ISNUMBER(SEARCH("falchion",A15)),ISNUMBER(SEARCH("m9 ",A15)),ISNUMBER(SEARCH("butterfly",A15)),ISNUMBER(SEARCH("skeleton",A15)),ISNUMBER(SEARCH("paracord",A15)),ISNUMBER(SEARCH("classic",A15))), "Knives", OR(ISNUMBER(SEARCH("glove",A15))), "Gloves", OR(ISNUMBER(SEARCH("sticker",A15)),AND(ISNUMBER(SEARCH("fallen",A15)),NOT(ISNUMBER(SEARCH("awp",A15))),NOT(ISNUMBER(SEARCH("ak",A15))))), "Sticker", OR(ISNUMBER(SEARCH("ak ",A15)),ISNUMBER(SEARCH("ak-",A15)),ISNUMBER(SEARCH("m4a1",A15)),ISNUMBER(SEARCH("m4a4",A15)),ISNUMBER(SEARCH("galil",A15)),ISNUMBER(SEARCH("famas",A15))), "Rifles", OR(ISNUMBER(SEARCH("awp",A15)),ISNUMBER(SEARCH("ssg",A15))), "Sniper", OR(ISNUMBER(SEARCH("usp",A15)),ISNUMBER(SEARCH("glock",A15)),ISNUMBER(SEARCH("eagle",A15)),ISNUMBER(SEARCH("p250",A15)),ISNUMBER(SEARCH("berettas",A15))), "Pistol", TRUE, "SMG")</f>
        <v>Sticker</v>
      </c>
      <c r="C15" s="16">
        <v>35</v>
      </c>
      <c r="D15" s="16">
        <v>90</v>
      </c>
      <c r="E15" s="11">
        <f t="shared" si="4"/>
        <v>5.3999999999999995</v>
      </c>
      <c r="F15" s="13">
        <f t="shared" si="5"/>
        <v>84.6</v>
      </c>
      <c r="G15" s="13">
        <f t="shared" si="2"/>
        <v>49.599999999999994</v>
      </c>
      <c r="H15" s="2">
        <f t="shared" si="3"/>
        <v>141.71428571428569</v>
      </c>
    </row>
    <row r="16" spans="1:14" x14ac:dyDescent="0.25">
      <c r="A16" t="s">
        <v>24</v>
      </c>
      <c r="B16" s="17" t="str" cm="1">
        <f t="array" ref="B16">_xlfn.IFS(OR(ISNUMBER(SEARCH("survival",A16)),ISNUMBER(SEARCH("nomad",A16)),ISNUMBER(SEARCH("bayonet",A16)),ISNUMBER(SEARCH("falchion",A16)),ISNUMBER(SEARCH("m9 ",A16)),ISNUMBER(SEARCH("butterfly",A16)),ISNUMBER(SEARCH("skeleton",A16)),ISNUMBER(SEARCH("paracord",A16)),ISNUMBER(SEARCH("classic",A16))), "Knives", OR(ISNUMBER(SEARCH("glove",A16))), "Gloves", OR(ISNUMBER(SEARCH("sticker",A16)),AND(ISNUMBER(SEARCH("fallen",A16)),NOT(ISNUMBER(SEARCH("awp",A16))),NOT(ISNUMBER(SEARCH("ak",A16))))), "Sticker", OR(ISNUMBER(SEARCH("ak ",A16)),ISNUMBER(SEARCH("ak-",A16)),ISNUMBER(SEARCH("m4a1",A16)),ISNUMBER(SEARCH("m4a4",A16)),ISNUMBER(SEARCH("galil",A16)),ISNUMBER(SEARCH("famas",A16))), "Rifles", OR(ISNUMBER(SEARCH("awp",A16)),ISNUMBER(SEARCH("ssg",A16))), "Sniper", OR(ISNUMBER(SEARCH("usp",A16)),ISNUMBER(SEARCH("glock",A16)),ISNUMBER(SEARCH("eagle",A16)),ISNUMBER(SEARCH("p250",A16)),ISNUMBER(SEARCH("berettas",A16))), "Pistol", TRUE, "SMG")</f>
        <v>Knives</v>
      </c>
      <c r="C16" s="16">
        <v>485</v>
      </c>
      <c r="D16" s="16">
        <v>550</v>
      </c>
      <c r="E16" s="11">
        <f t="shared" si="4"/>
        <v>33</v>
      </c>
      <c r="F16" s="13">
        <f t="shared" si="5"/>
        <v>517</v>
      </c>
      <c r="G16" s="13">
        <f t="shared" si="2"/>
        <v>32</v>
      </c>
      <c r="H16" s="2">
        <f t="shared" si="3"/>
        <v>6.5979381443298974</v>
      </c>
    </row>
    <row r="17" spans="1:8" x14ac:dyDescent="0.25">
      <c r="A17" t="s">
        <v>28</v>
      </c>
      <c r="B17" s="17" t="str" cm="1">
        <f t="array" ref="B17">_xlfn.IFS(OR(ISNUMBER(SEARCH("survival",A17)),ISNUMBER(SEARCH("nomad",A17)),ISNUMBER(SEARCH("bayonet",A17)),ISNUMBER(SEARCH("falchion",A17)),ISNUMBER(SEARCH("m9 ",A17)),ISNUMBER(SEARCH("butterfly",A17)),ISNUMBER(SEARCH("skeleton",A17)),ISNUMBER(SEARCH("paracord",A17)),ISNUMBER(SEARCH("classic",A17))), "Knives", OR(ISNUMBER(SEARCH("glove",A17))), "Gloves", OR(ISNUMBER(SEARCH("sticker",A17)),AND(ISNUMBER(SEARCH("fallen",A17)),NOT(ISNUMBER(SEARCH("awp",A17))),NOT(ISNUMBER(SEARCH("ak",A17))))), "Sticker", OR(ISNUMBER(SEARCH("ak ",A17)),ISNUMBER(SEARCH("ak-",A17)),ISNUMBER(SEARCH("m4a1",A17)),ISNUMBER(SEARCH("m4a4",A17)),ISNUMBER(SEARCH("galil",A17)),ISNUMBER(SEARCH("famas",A17))), "Rifles", OR(ISNUMBER(SEARCH("awp",A17)),ISNUMBER(SEARCH("ssg",A17))), "Sniper", OR(ISNUMBER(SEARCH("usp",A17)),ISNUMBER(SEARCH("glock",A17)),ISNUMBER(SEARCH("eagle",A17)),ISNUMBER(SEARCH("p250",A17)),ISNUMBER(SEARCH("berettas",A17))), "Pistol", TRUE, "SMG")</f>
        <v>Knives</v>
      </c>
      <c r="C17" s="16">
        <v>980</v>
      </c>
      <c r="D17" s="16">
        <v>1080</v>
      </c>
      <c r="E17" s="11">
        <f t="shared" si="4"/>
        <v>64.8</v>
      </c>
      <c r="F17" s="13">
        <f t="shared" si="5"/>
        <v>1015.2</v>
      </c>
      <c r="G17" s="13">
        <f t="shared" si="2"/>
        <v>35.200000000000045</v>
      </c>
      <c r="H17" s="2">
        <f t="shared" si="3"/>
        <v>3.5918367346938824</v>
      </c>
    </row>
    <row r="18" spans="1:8" x14ac:dyDescent="0.25">
      <c r="A18" t="s">
        <v>29</v>
      </c>
      <c r="B18" s="17" t="str" cm="1">
        <f t="array" ref="B18">_xlfn.IFS(OR(ISNUMBER(SEARCH("survival",A18)),ISNUMBER(SEARCH("nomad",A18)),ISNUMBER(SEARCH("bayonet",A18)),ISNUMBER(SEARCH("falchion",A18)),ISNUMBER(SEARCH("m9 ",A18)),ISNUMBER(SEARCH("butterfly",A18)),ISNUMBER(SEARCH("skeleton",A18)),ISNUMBER(SEARCH("paracord",A18)),ISNUMBER(SEARCH("classic",A18))), "Knives", OR(ISNUMBER(SEARCH("glove",A18))), "Gloves", OR(ISNUMBER(SEARCH("sticker",A18)),AND(ISNUMBER(SEARCH("fallen",A18)),NOT(ISNUMBER(SEARCH("awp",A18))),NOT(ISNUMBER(SEARCH("ak",A18))))), "Sticker", OR(ISNUMBER(SEARCH("ak ",A18)),ISNUMBER(SEARCH("ak-",A18)),ISNUMBER(SEARCH("m4a1",A18)),ISNUMBER(SEARCH("m4a4",A18)),ISNUMBER(SEARCH("galil",A18)),ISNUMBER(SEARCH("famas",A18))), "Rifles", OR(ISNUMBER(SEARCH("awp",A18)),ISNUMBER(SEARCH("ssg",A18))), "Sniper", OR(ISNUMBER(SEARCH("usp",A18)),ISNUMBER(SEARCH("glock",A18)),ISNUMBER(SEARCH("eagle",A18)),ISNUMBER(SEARCH("p250",A18)),ISNUMBER(SEARCH("berettas",A18))), "Pistol", TRUE, "SMG")</f>
        <v>Rifles</v>
      </c>
      <c r="C18" s="16">
        <v>350</v>
      </c>
      <c r="D18" s="16">
        <v>418</v>
      </c>
      <c r="E18" s="11">
        <f t="shared" si="4"/>
        <v>25.08</v>
      </c>
      <c r="F18" s="13">
        <f t="shared" si="5"/>
        <v>392.92</v>
      </c>
      <c r="G18" s="13">
        <f t="shared" si="2"/>
        <v>42.920000000000016</v>
      </c>
      <c r="H18" s="2">
        <f t="shared" si="3"/>
        <v>12.262857142857147</v>
      </c>
    </row>
    <row r="19" spans="1:8" x14ac:dyDescent="0.25">
      <c r="A19" t="s">
        <v>30</v>
      </c>
      <c r="B19" s="17" t="str" cm="1">
        <f t="array" ref="B19">_xlfn.IFS(OR(ISNUMBER(SEARCH("survival",A19)),ISNUMBER(SEARCH("nomad",A19)),ISNUMBER(SEARCH("bayonet",A19)),ISNUMBER(SEARCH("falchion",A19)),ISNUMBER(SEARCH("m9 ",A19)),ISNUMBER(SEARCH("butterfly",A19)),ISNUMBER(SEARCH("skeleton",A19)),ISNUMBER(SEARCH("paracord",A19)),ISNUMBER(SEARCH("classic",A19))), "Knives", OR(ISNUMBER(SEARCH("glove",A19))), "Gloves", OR(ISNUMBER(SEARCH("sticker",A19)),AND(ISNUMBER(SEARCH("fallen",A19)),NOT(ISNUMBER(SEARCH("awp",A19))),NOT(ISNUMBER(SEARCH("ak",A19))))), "Sticker", OR(ISNUMBER(SEARCH("ak ",A19)),ISNUMBER(SEARCH("ak-",A19)),ISNUMBER(SEARCH("m4a1",A19)),ISNUMBER(SEARCH("m4a4",A19)),ISNUMBER(SEARCH("galil",A19)),ISNUMBER(SEARCH("famas",A19))), "Rifles", OR(ISNUMBER(SEARCH("awp",A19)),ISNUMBER(SEARCH("ssg",A19))), "Sniper", OR(ISNUMBER(SEARCH("usp",A19)),ISNUMBER(SEARCH("glock",A19)),ISNUMBER(SEARCH("eagle",A19)),ISNUMBER(SEARCH("p250",A19)),ISNUMBER(SEARCH("berettas",A19))), "Pistol", TRUE, "SMG")</f>
        <v>Rifles</v>
      </c>
      <c r="C19" s="16">
        <v>35</v>
      </c>
      <c r="D19" s="16">
        <v>60</v>
      </c>
      <c r="E19" s="11">
        <f t="shared" si="4"/>
        <v>3.5999999999999996</v>
      </c>
      <c r="F19" s="13">
        <f t="shared" si="5"/>
        <v>56.4</v>
      </c>
      <c r="G19" s="13">
        <f t="shared" si="2"/>
        <v>21.4</v>
      </c>
      <c r="H19" s="2">
        <f t="shared" si="3"/>
        <v>61.142857142857146</v>
      </c>
    </row>
    <row r="20" spans="1:8" x14ac:dyDescent="0.25">
      <c r="A20" t="s">
        <v>31</v>
      </c>
      <c r="B20" s="17" t="str" cm="1">
        <f t="array" ref="B20">_xlfn.IFS(OR(ISNUMBER(SEARCH("survival",A20)),ISNUMBER(SEARCH("nomad",A20)),ISNUMBER(SEARCH("bayonet",A20)),ISNUMBER(SEARCH("falchion",A20)),ISNUMBER(SEARCH("m9 ",A20)),ISNUMBER(SEARCH("butterfly",A20)),ISNUMBER(SEARCH("skeleton",A20)),ISNUMBER(SEARCH("paracord",A20)),ISNUMBER(SEARCH("classic",A20))), "Knives", OR(ISNUMBER(SEARCH("glove",A20))), "Gloves", OR(ISNUMBER(SEARCH("sticker",A20)),AND(ISNUMBER(SEARCH("fallen",A20)),NOT(ISNUMBER(SEARCH("awp",A20))),NOT(ISNUMBER(SEARCH("ak",A20))))), "Sticker", OR(ISNUMBER(SEARCH("ak ",A20)),ISNUMBER(SEARCH("ak-",A20)),ISNUMBER(SEARCH("m4a1",A20)),ISNUMBER(SEARCH("m4a4",A20)),ISNUMBER(SEARCH("galil",A20)),ISNUMBER(SEARCH("famas",A20))), "Rifles", OR(ISNUMBER(SEARCH("awp",A20)),ISNUMBER(SEARCH("ssg",A20))), "Sniper", OR(ISNUMBER(SEARCH("usp",A20)),ISNUMBER(SEARCH("glock",A20)),ISNUMBER(SEARCH("eagle",A20)),ISNUMBER(SEARCH("p250",A20)),ISNUMBER(SEARCH("berettas",A20))), "Pistol", TRUE, "SMG")</f>
        <v>Sniper</v>
      </c>
      <c r="C20" s="16">
        <v>685</v>
      </c>
      <c r="D20" s="16">
        <v>800</v>
      </c>
      <c r="E20" s="11">
        <f t="shared" si="4"/>
        <v>48</v>
      </c>
      <c r="F20" s="13">
        <f t="shared" si="5"/>
        <v>752</v>
      </c>
      <c r="G20" s="13">
        <f t="shared" si="2"/>
        <v>67</v>
      </c>
      <c r="H20" s="2">
        <f t="shared" si="3"/>
        <v>9.7810218978102181</v>
      </c>
    </row>
    <row r="21" spans="1:8" x14ac:dyDescent="0.25">
      <c r="A21" t="s">
        <v>32</v>
      </c>
      <c r="B21" s="17" t="s">
        <v>14</v>
      </c>
      <c r="C21" s="16">
        <v>200</v>
      </c>
      <c r="D21" s="16">
        <v>270</v>
      </c>
      <c r="E21" s="11">
        <f t="shared" si="4"/>
        <v>16.2</v>
      </c>
      <c r="F21" s="13">
        <f>IF(D21 &gt;0, D21-E21, "")</f>
        <v>253.8</v>
      </c>
      <c r="G21" s="13">
        <f t="shared" si="2"/>
        <v>53.800000000000011</v>
      </c>
      <c r="H21" s="2">
        <f t="shared" si="3"/>
        <v>26.900000000000006</v>
      </c>
    </row>
    <row r="22" spans="1:8" x14ac:dyDescent="0.25">
      <c r="A22" t="s">
        <v>25</v>
      </c>
      <c r="B22" s="17" t="s">
        <v>16</v>
      </c>
      <c r="C22" s="16">
        <v>350</v>
      </c>
      <c r="D22" s="16">
        <v>400</v>
      </c>
      <c r="E22" s="11">
        <f t="shared" si="4"/>
        <v>24</v>
      </c>
      <c r="F22" s="13">
        <f>IF(D22 &gt;0, D22-E22, "")</f>
        <v>376</v>
      </c>
      <c r="G22" s="13">
        <f t="shared" si="2"/>
        <v>26</v>
      </c>
      <c r="H22" s="2">
        <f t="shared" si="3"/>
        <v>7.4285714285714288</v>
      </c>
    </row>
    <row r="23" spans="1:8" ht="15.75" customHeight="1" x14ac:dyDescent="0.25">
      <c r="A23" t="s">
        <v>33</v>
      </c>
      <c r="B23" s="17" t="str" cm="1">
        <f t="array" ref="B23">_xlfn.IFS(OR(ISNUMBER(SEARCH("survival",A23)),ISNUMBER(SEARCH("nomad",A23)),ISNUMBER(SEARCH("bayonet",A23)),ISNUMBER(SEARCH("falchion",A23)),ISNUMBER(SEARCH("m9 ",A23)),ISNUMBER(SEARCH("butterfly",A23)),ISNUMBER(SEARCH("skeleton",A23)),ISNUMBER(SEARCH("paracord",A23)),ISNUMBER(SEARCH("classic",A23))), "Knives", OR(ISNUMBER(SEARCH("glove",A23))), "Gloves", OR(ISNUMBER(SEARCH("sticker",A23)),AND(ISNUMBER(SEARCH("fallen",A23)),NOT(ISNUMBER(SEARCH("awp",A23))),NOT(ISNUMBER(SEARCH("ak",A23))))), "Sticker", OR(ISNUMBER(SEARCH("ak ",A23)),ISNUMBER(SEARCH("ak-",A23)),ISNUMBER(SEARCH("m4a1",A23)),ISNUMBER(SEARCH("m4a4",A23)),ISNUMBER(SEARCH("galil",A23)),ISNUMBER(SEARCH("famas",A23))), "Rifles", OR(ISNUMBER(SEARCH("awp",A23)),ISNUMBER(SEARCH("ssg",A23))), "Sniper", OR(ISNUMBER(SEARCH("usp",A23)),ISNUMBER(SEARCH("glock",A23)),ISNUMBER(SEARCH("eagle",A23)),ISNUMBER(SEARCH("p250",A23)),ISNUMBER(SEARCH("berettas",A23))), "Pistol", TRUE, "SMG")</f>
        <v>SMG</v>
      </c>
      <c r="C23" s="16">
        <v>50</v>
      </c>
      <c r="D23" s="16">
        <v>320</v>
      </c>
      <c r="E23" s="11">
        <f t="shared" ref="E23:E54" si="6">D23*6%</f>
        <v>19.2</v>
      </c>
      <c r="F23" s="13">
        <f t="shared" ref="F23:F54" si="7">D23-E23</f>
        <v>300.8</v>
      </c>
      <c r="G23" s="13">
        <f t="shared" ref="G23:G54" si="8">F23-C23</f>
        <v>250.8</v>
      </c>
      <c r="H23" s="2">
        <f t="shared" ref="H23:H54" si="9">IF(C23&gt;0,(G23/C23)*100,0)</f>
        <v>501.6</v>
      </c>
    </row>
    <row r="24" spans="1:8" ht="17.25" customHeight="1" x14ac:dyDescent="0.25">
      <c r="A24" s="1" t="s">
        <v>34</v>
      </c>
      <c r="B24" s="18" t="str" cm="1">
        <f t="array" ref="B24">_xlfn.IFS(OR(ISNUMBER(SEARCH("survival",A24)),ISNUMBER(SEARCH("nomad",A24)),ISNUMBER(SEARCH("bayonet",A24)),ISNUMBER(SEARCH("falchion",A24)),ISNUMBER(SEARCH("m9 ",A24)),ISNUMBER(SEARCH("butterfly",A24)),ISNUMBER(SEARCH("skeleton",A24)),ISNUMBER(SEARCH("paracord",A24)),ISNUMBER(SEARCH("classic",A24))), "Knives", OR(ISNUMBER(SEARCH("glove",A24))), "Gloves", OR(ISNUMBER(SEARCH("sticker",A24)),AND(ISNUMBER(SEARCH("fallen",A24)),NOT(ISNUMBER(SEARCH("awp",A24))),NOT(ISNUMBER(SEARCH("ak",A24))))), "Sticker", OR(ISNUMBER(SEARCH("ak ",A24)),ISNUMBER(SEARCH("ak-",A24)),ISNUMBER(SEARCH("m4a1",A24)),ISNUMBER(SEARCH("m4a4",A24)),ISNUMBER(SEARCH("galil",A24)),ISNUMBER(SEARCH("famas",A24))), "Rifles", OR(ISNUMBER(SEARCH("awp",A24)),ISNUMBER(SEARCH("ssg",A24))), "Sniper", OR(ISNUMBER(SEARCH("usp",A24)),ISNUMBER(SEARCH("glock",A24)),ISNUMBER(SEARCH("eagle",A24)),ISNUMBER(SEARCH("p250",A24)),ISNUMBER(SEARCH("berettas",A24))), "Pistol", TRUE, "SMG")</f>
        <v>SMG</v>
      </c>
      <c r="C24" s="16">
        <v>50</v>
      </c>
      <c r="D24" s="16">
        <v>300</v>
      </c>
      <c r="E24" s="11">
        <f t="shared" si="6"/>
        <v>18</v>
      </c>
      <c r="F24" s="13">
        <f t="shared" si="7"/>
        <v>282</v>
      </c>
      <c r="G24" s="13">
        <f t="shared" si="8"/>
        <v>232</v>
      </c>
      <c r="H24" s="2">
        <f t="shared" si="9"/>
        <v>463.99999999999994</v>
      </c>
    </row>
    <row r="25" spans="1:8" x14ac:dyDescent="0.25">
      <c r="A25" t="s">
        <v>35</v>
      </c>
      <c r="B25" s="17" t="str" cm="1">
        <f t="array" ref="B25">_xlfn.IFS(OR(ISNUMBER(SEARCH("survival",A25)),ISNUMBER(SEARCH("nomad",A25)),ISNUMBER(SEARCH("bayonet",A25)),ISNUMBER(SEARCH("falchion",A25)),ISNUMBER(SEARCH("m9 ",A25)),ISNUMBER(SEARCH("butterfly",A25)),ISNUMBER(SEARCH("skeleton",A25)),ISNUMBER(SEARCH("paracord",A25)),ISNUMBER(SEARCH("classic",A25))), "Knives", OR(ISNUMBER(SEARCH("glove",A25))), "Gloves", OR(ISNUMBER(SEARCH("sticker",A25)),AND(ISNUMBER(SEARCH("fallen",A25)),NOT(ISNUMBER(SEARCH("awp",A25))),NOT(ISNUMBER(SEARCH("ak",A25))))), "Sticker", OR(ISNUMBER(SEARCH("ak ",A25)),ISNUMBER(SEARCH("ak-",A25)),ISNUMBER(SEARCH("m4a1",A25)),ISNUMBER(SEARCH("m4a4",A25)),ISNUMBER(SEARCH("galil",A25)),ISNUMBER(SEARCH("famas",A25))), "Rifles", OR(ISNUMBER(SEARCH("awp",A25)),ISNUMBER(SEARCH("ssg",A25))), "Sniper", OR(ISNUMBER(SEARCH("usp",A25)),ISNUMBER(SEARCH("glock",A25)),ISNUMBER(SEARCH("eagle",A25)),ISNUMBER(SEARCH("p250",A25)),ISNUMBER(SEARCH("berettas",A25))), "Pistol", TRUE, "SMG")</f>
        <v>Rifles</v>
      </c>
      <c r="C25" s="16">
        <v>40</v>
      </c>
      <c r="D25" s="16">
        <v>300</v>
      </c>
      <c r="E25" s="11">
        <f t="shared" si="6"/>
        <v>18</v>
      </c>
      <c r="F25" s="13">
        <f t="shared" si="7"/>
        <v>282</v>
      </c>
      <c r="G25" s="13">
        <f t="shared" si="8"/>
        <v>242</v>
      </c>
      <c r="H25" s="2">
        <f t="shared" si="9"/>
        <v>605</v>
      </c>
    </row>
    <row r="26" spans="1:8" x14ac:dyDescent="0.25">
      <c r="A26" t="s">
        <v>36</v>
      </c>
      <c r="B26" s="17" t="str" cm="1">
        <f t="array" ref="B26">_xlfn.IFS(OR(ISNUMBER(SEARCH("survival",A26)),ISNUMBER(SEARCH("nomad",A26)),ISNUMBER(SEARCH("bayonet",A26)),ISNUMBER(SEARCH("falchion",A26)),ISNUMBER(SEARCH("m9 ",A26)),ISNUMBER(SEARCH("butterfly",A26)),ISNUMBER(SEARCH("skeleton",A26)),ISNUMBER(SEARCH("paracord",A26)),ISNUMBER(SEARCH("classic",A26))), "Knives", OR(ISNUMBER(SEARCH("glove",A26))), "Gloves", OR(ISNUMBER(SEARCH("sticker",A26)),AND(ISNUMBER(SEARCH("fallen",A26)),NOT(ISNUMBER(SEARCH("awp",A26))),NOT(ISNUMBER(SEARCH("ak",A26))))), "Sticker", OR(ISNUMBER(SEARCH("ak ",A26)),ISNUMBER(SEARCH("ak-",A26)),ISNUMBER(SEARCH("m4a1",A26)),ISNUMBER(SEARCH("m4a4",A26)),ISNUMBER(SEARCH("galil",A26)),ISNUMBER(SEARCH("famas",A26))), "Rifles", OR(ISNUMBER(SEARCH("awp",A26)),ISNUMBER(SEARCH("ssg",A26))), "Sniper", OR(ISNUMBER(SEARCH("usp",A26)),ISNUMBER(SEARCH("glock",A26)),ISNUMBER(SEARCH("eagle",A26)),ISNUMBER(SEARCH("p250",A26)),ISNUMBER(SEARCH("berettas",A26))), "Pistol", TRUE, "SMG")</f>
        <v>Sniper</v>
      </c>
      <c r="C26" s="16">
        <v>150</v>
      </c>
      <c r="D26" s="16">
        <v>300</v>
      </c>
      <c r="E26" s="11">
        <f t="shared" si="6"/>
        <v>18</v>
      </c>
      <c r="F26" s="13">
        <f t="shared" si="7"/>
        <v>282</v>
      </c>
      <c r="G26" s="13">
        <f t="shared" si="8"/>
        <v>132</v>
      </c>
      <c r="H26" s="2">
        <f t="shared" si="9"/>
        <v>88</v>
      </c>
    </row>
    <row r="27" spans="1:8" x14ac:dyDescent="0.25">
      <c r="A27" t="s">
        <v>37</v>
      </c>
      <c r="B27" s="17" t="str" cm="1">
        <f t="array" ref="B27">_xlfn.IFS(OR(ISNUMBER(SEARCH("survival",A27)),ISNUMBER(SEARCH("nomad",A27)),ISNUMBER(SEARCH("bayonet",A27)),ISNUMBER(SEARCH("falchion",A27)),ISNUMBER(SEARCH("m9 ",A27)),ISNUMBER(SEARCH("butterfly",A27)),ISNUMBER(SEARCH("skeleton",A27)),ISNUMBER(SEARCH("paracord",A27)),ISNUMBER(SEARCH("classic",A27))), "Knives", OR(ISNUMBER(SEARCH("glove",A27))), "Gloves", OR(ISNUMBER(SEARCH("sticker",A27)),AND(ISNUMBER(SEARCH("fallen",A27)),NOT(ISNUMBER(SEARCH("awp",A27))),NOT(ISNUMBER(SEARCH("ak",A27))))), "Sticker", OR(ISNUMBER(SEARCH("ak ",A27)),ISNUMBER(SEARCH("ak-",A27)),ISNUMBER(SEARCH("m4a1",A27)),ISNUMBER(SEARCH("m4a4",A27)),ISNUMBER(SEARCH("galil",A27)),ISNUMBER(SEARCH("famas",A27))), "Rifles", OR(ISNUMBER(SEARCH("awp",A27)),ISNUMBER(SEARCH("ssg",A27))), "Sniper", OR(ISNUMBER(SEARCH("usp",A27)),ISNUMBER(SEARCH("glock",A27)),ISNUMBER(SEARCH("eagle",A27)),ISNUMBER(SEARCH("p250",A27)),ISNUMBER(SEARCH("berettas",A27))), "Pistol", TRUE, "SMG")</f>
        <v>Rifles</v>
      </c>
      <c r="C27" s="16">
        <v>250</v>
      </c>
      <c r="D27" s="16">
        <v>600</v>
      </c>
      <c r="E27" s="11">
        <f t="shared" si="6"/>
        <v>36</v>
      </c>
      <c r="F27" s="13">
        <f t="shared" si="7"/>
        <v>564</v>
      </c>
      <c r="G27" s="13">
        <f t="shared" si="8"/>
        <v>314</v>
      </c>
      <c r="H27" s="2">
        <f t="shared" si="9"/>
        <v>125.6</v>
      </c>
    </row>
    <row r="28" spans="1:8" x14ac:dyDescent="0.25">
      <c r="A28" t="s">
        <v>33</v>
      </c>
      <c r="B28" s="17" t="str" cm="1">
        <f t="array" ref="B28">_xlfn.IFS(OR(ISNUMBER(SEARCH("survival",A28)),ISNUMBER(SEARCH("nomad",A28)),ISNUMBER(SEARCH("bayonet",A28)),ISNUMBER(SEARCH("falchion",A28)),ISNUMBER(SEARCH("m9 ",A28)),ISNUMBER(SEARCH("butterfly",A28)),ISNUMBER(SEARCH("skeleton",A28)),ISNUMBER(SEARCH("paracord",A28)),ISNUMBER(SEARCH("classic",A28))), "Knives", OR(ISNUMBER(SEARCH("glove",A28))), "Gloves", OR(ISNUMBER(SEARCH("sticker",A28)),AND(ISNUMBER(SEARCH("fallen",A28)),NOT(ISNUMBER(SEARCH("awp",A28))),NOT(ISNUMBER(SEARCH("ak",A28))))), "Sticker", OR(ISNUMBER(SEARCH("ak ",A28)),ISNUMBER(SEARCH("ak-",A28)),ISNUMBER(SEARCH("m4a1",A28)),ISNUMBER(SEARCH("m4a4",A28)),ISNUMBER(SEARCH("galil",A28)),ISNUMBER(SEARCH("famas",A28))), "Rifles", OR(ISNUMBER(SEARCH("awp",A28)),ISNUMBER(SEARCH("ssg",A28))), "Sniper", OR(ISNUMBER(SEARCH("usp",A28)),ISNUMBER(SEARCH("glock",A28)),ISNUMBER(SEARCH("eagle",A28)),ISNUMBER(SEARCH("p250",A28)),ISNUMBER(SEARCH("berettas",A28))), "Pistol", TRUE, "SMG")</f>
        <v>SMG</v>
      </c>
      <c r="C28" s="16">
        <v>60</v>
      </c>
      <c r="D28" s="16">
        <v>320</v>
      </c>
      <c r="E28" s="11">
        <f t="shared" si="6"/>
        <v>19.2</v>
      </c>
      <c r="F28" s="13">
        <f t="shared" si="7"/>
        <v>300.8</v>
      </c>
      <c r="G28" s="13">
        <f t="shared" si="8"/>
        <v>240.8</v>
      </c>
      <c r="H28" s="2">
        <f t="shared" si="9"/>
        <v>401.33333333333337</v>
      </c>
    </row>
    <row r="29" spans="1:8" x14ac:dyDescent="0.25">
      <c r="A29" t="s">
        <v>38</v>
      </c>
      <c r="B29" s="17" t="str" cm="1">
        <f t="array" ref="B29">_xlfn.IFS(OR(ISNUMBER(SEARCH("survival",A29)),ISNUMBER(SEARCH("nomad",A29)),ISNUMBER(SEARCH("bayonet",A29)),ISNUMBER(SEARCH("falchion",A29)),ISNUMBER(SEARCH("m9 ",A29)),ISNUMBER(SEARCH("butterfly",A29)),ISNUMBER(SEARCH("skeleton",A29)),ISNUMBER(SEARCH("paracord",A29)),ISNUMBER(SEARCH("classic",A29))), "Knives", OR(ISNUMBER(SEARCH("glove",A29))), "Gloves", OR(ISNUMBER(SEARCH("sticker",A29)),AND(ISNUMBER(SEARCH("fallen",A29)),NOT(ISNUMBER(SEARCH("awp",A29))),NOT(ISNUMBER(SEARCH("ak",A29))))), "Sticker", OR(ISNUMBER(SEARCH("ak ",A29)),ISNUMBER(SEARCH("ak-",A29)),ISNUMBER(SEARCH("m4a1",A29)),ISNUMBER(SEARCH("m4a4",A29)),ISNUMBER(SEARCH("galil",A29)),ISNUMBER(SEARCH("famas",A29))), "Rifles", OR(ISNUMBER(SEARCH("awp",A29)),ISNUMBER(SEARCH("ssg",A29))), "Sniper", OR(ISNUMBER(SEARCH("usp",A29)),ISNUMBER(SEARCH("glock",A29)),ISNUMBER(SEARCH("eagle",A29)),ISNUMBER(SEARCH("p250",A29)),ISNUMBER(SEARCH("berettas",A29))), "Pistol", TRUE, "SMG")</f>
        <v>SMG</v>
      </c>
      <c r="C29" s="16">
        <v>130</v>
      </c>
      <c r="D29" s="16">
        <v>500</v>
      </c>
      <c r="E29" s="11">
        <f t="shared" si="6"/>
        <v>30</v>
      </c>
      <c r="F29" s="13">
        <f t="shared" si="7"/>
        <v>470</v>
      </c>
      <c r="G29" s="13">
        <f t="shared" si="8"/>
        <v>340</v>
      </c>
      <c r="H29" s="2">
        <f t="shared" si="9"/>
        <v>261.53846153846155</v>
      </c>
    </row>
    <row r="30" spans="1:8" x14ac:dyDescent="0.25">
      <c r="A30" t="s">
        <v>38</v>
      </c>
      <c r="B30" s="17" t="str" cm="1">
        <f t="array" ref="B30">_xlfn.IFS(OR(ISNUMBER(SEARCH("survival",A30)),ISNUMBER(SEARCH("nomad",A30)),ISNUMBER(SEARCH("bayonet",A30)),ISNUMBER(SEARCH("falchion",A30)),ISNUMBER(SEARCH("m9 ",A30)),ISNUMBER(SEARCH("butterfly",A30)),ISNUMBER(SEARCH("skeleton",A30)),ISNUMBER(SEARCH("paracord",A30)),ISNUMBER(SEARCH("classic",A30))), "Knives", OR(ISNUMBER(SEARCH("glove",A30))), "Gloves", OR(ISNUMBER(SEARCH("sticker",A30)),AND(ISNUMBER(SEARCH("fallen",A30)),NOT(ISNUMBER(SEARCH("awp",A30))),NOT(ISNUMBER(SEARCH("ak",A30))))), "Sticker", OR(ISNUMBER(SEARCH("ak ",A30)),ISNUMBER(SEARCH("ak-",A30)),ISNUMBER(SEARCH("m4a1",A30)),ISNUMBER(SEARCH("m4a4",A30)),ISNUMBER(SEARCH("galil",A30)),ISNUMBER(SEARCH("famas",A30))), "Rifles", OR(ISNUMBER(SEARCH("awp",A30)),ISNUMBER(SEARCH("ssg",A30))), "Sniper", OR(ISNUMBER(SEARCH("usp",A30)),ISNUMBER(SEARCH("glock",A30)),ISNUMBER(SEARCH("eagle",A30)),ISNUMBER(SEARCH("p250",A30)),ISNUMBER(SEARCH("berettas",A30))), "Pistol", TRUE, "SMG")</f>
        <v>SMG</v>
      </c>
      <c r="C30" s="16">
        <v>130</v>
      </c>
      <c r="D30" s="16">
        <v>500</v>
      </c>
      <c r="E30" s="11">
        <f t="shared" si="6"/>
        <v>30</v>
      </c>
      <c r="F30" s="13">
        <f t="shared" si="7"/>
        <v>470</v>
      </c>
      <c r="G30" s="13">
        <f t="shared" si="8"/>
        <v>340</v>
      </c>
      <c r="H30" s="2">
        <f t="shared" si="9"/>
        <v>261.53846153846155</v>
      </c>
    </row>
    <row r="31" spans="1:8" x14ac:dyDescent="0.25">
      <c r="A31" t="s">
        <v>36</v>
      </c>
      <c r="B31" s="17" t="str" cm="1">
        <f t="array" ref="B31">_xlfn.IFS(OR(ISNUMBER(SEARCH("survival",A31)),ISNUMBER(SEARCH("nomad",A31)),ISNUMBER(SEARCH("bayonet",A31)),ISNUMBER(SEARCH("falchion",A31)),ISNUMBER(SEARCH("m9 ",A31)),ISNUMBER(SEARCH("butterfly",A31)),ISNUMBER(SEARCH("skeleton",A31)),ISNUMBER(SEARCH("paracord",A31)),ISNUMBER(SEARCH("classic",A31))), "Knives", OR(ISNUMBER(SEARCH("glove",A31))), "Gloves", OR(ISNUMBER(SEARCH("sticker",A31)),AND(ISNUMBER(SEARCH("fallen",A31)),NOT(ISNUMBER(SEARCH("awp",A31))),NOT(ISNUMBER(SEARCH("ak",A31))))), "Sticker", OR(ISNUMBER(SEARCH("ak ",A31)),ISNUMBER(SEARCH("ak-",A31)),ISNUMBER(SEARCH("m4a1",A31)),ISNUMBER(SEARCH("m4a4",A31)),ISNUMBER(SEARCH("galil",A31)),ISNUMBER(SEARCH("famas",A31))), "Rifles", OR(ISNUMBER(SEARCH("awp",A31)),ISNUMBER(SEARCH("ssg",A31))), "Sniper", OR(ISNUMBER(SEARCH("usp",A31)),ISNUMBER(SEARCH("glock",A31)),ISNUMBER(SEARCH("eagle",A31)),ISNUMBER(SEARCH("p250",A31)),ISNUMBER(SEARCH("berettas",A31))), "Pistol", TRUE, "SMG")</f>
        <v>Sniper</v>
      </c>
      <c r="C31" s="16">
        <v>610</v>
      </c>
      <c r="D31" s="16">
        <v>1480</v>
      </c>
      <c r="E31" s="11">
        <f t="shared" si="6"/>
        <v>88.8</v>
      </c>
      <c r="F31" s="13">
        <f t="shared" si="7"/>
        <v>1391.2</v>
      </c>
      <c r="G31" s="13">
        <f t="shared" si="8"/>
        <v>781.2</v>
      </c>
      <c r="H31" s="2">
        <f t="shared" si="9"/>
        <v>128.06557377049182</v>
      </c>
    </row>
    <row r="32" spans="1:8" x14ac:dyDescent="0.25">
      <c r="A32" t="s">
        <v>39</v>
      </c>
      <c r="B32" s="17" t="str" cm="1">
        <f t="array" ref="B32">_xlfn.IFS(OR(ISNUMBER(SEARCH("survival",A32)),ISNUMBER(SEARCH("nomad",A32)),ISNUMBER(SEARCH("bayonet",A32)),ISNUMBER(SEARCH("falchion",A32)),ISNUMBER(SEARCH("m9 ",A32)),ISNUMBER(SEARCH("butterfly",A32)),ISNUMBER(SEARCH("skeleton",A32)),ISNUMBER(SEARCH("paracord",A32)),ISNUMBER(SEARCH("classic",A32))), "Knives", OR(ISNUMBER(SEARCH("glove",A32))), "Gloves", OR(ISNUMBER(SEARCH("sticker",A32)),AND(ISNUMBER(SEARCH("fallen",A32)),NOT(ISNUMBER(SEARCH("awp",A32))),NOT(ISNUMBER(SEARCH("ak",A32))))), "Sticker", OR(ISNUMBER(SEARCH("ak ",A32)),ISNUMBER(SEARCH("ak-",A32)),ISNUMBER(SEARCH("m4a1",A32)),ISNUMBER(SEARCH("m4a4",A32)),ISNUMBER(SEARCH("galil",A32)),ISNUMBER(SEARCH("famas",A32))), "Rifles", OR(ISNUMBER(SEARCH("awp",A32)),ISNUMBER(SEARCH("ssg",A32))), "Sniper", OR(ISNUMBER(SEARCH("usp",A32)),ISNUMBER(SEARCH("glock",A32)),ISNUMBER(SEARCH("eagle",A32)),ISNUMBER(SEARCH("p250",A32)),ISNUMBER(SEARCH("berettas",A32))), "Pistol", TRUE, "SMG")</f>
        <v>Rifles</v>
      </c>
      <c r="C32" s="16">
        <v>470</v>
      </c>
      <c r="D32" s="16">
        <v>900</v>
      </c>
      <c r="E32" s="11">
        <f t="shared" si="6"/>
        <v>54</v>
      </c>
      <c r="F32" s="13">
        <f t="shared" si="7"/>
        <v>846</v>
      </c>
      <c r="G32" s="13">
        <f t="shared" si="8"/>
        <v>376</v>
      </c>
      <c r="H32" s="2">
        <f t="shared" si="9"/>
        <v>80</v>
      </c>
    </row>
    <row r="33" spans="1:8" x14ac:dyDescent="0.25">
      <c r="A33" t="s">
        <v>40</v>
      </c>
      <c r="B33" s="17" t="str" cm="1">
        <f t="array" ref="B33">_xlfn.IFS(OR(ISNUMBER(SEARCH("survival",A33)),ISNUMBER(SEARCH("nomad",A33)),ISNUMBER(SEARCH("bayonet",A33)),ISNUMBER(SEARCH("falchion",A33)),ISNUMBER(SEARCH("m9 ",A33)),ISNUMBER(SEARCH("butterfly",A33)),ISNUMBER(SEARCH("skeleton",A33)),ISNUMBER(SEARCH("paracord",A33)),ISNUMBER(SEARCH("classic",A33))), "Knives", OR(ISNUMBER(SEARCH("glove",A33))), "Gloves", OR(ISNUMBER(SEARCH("sticker",A33)),AND(ISNUMBER(SEARCH("fallen",A33)),NOT(ISNUMBER(SEARCH("awp",A33))),NOT(ISNUMBER(SEARCH("ak",A33))))), "Sticker", OR(ISNUMBER(SEARCH("ak ",A33)),ISNUMBER(SEARCH("ak-",A33)),ISNUMBER(SEARCH("m4a1",A33)),ISNUMBER(SEARCH("m4a4",A33)),ISNUMBER(SEARCH("galil",A33)),ISNUMBER(SEARCH("famas",A33))), "Rifles", OR(ISNUMBER(SEARCH("awp",A33)),ISNUMBER(SEARCH("ssg",A33))), "Sniper", OR(ISNUMBER(SEARCH("usp",A33)),ISNUMBER(SEARCH("glock",A33)),ISNUMBER(SEARCH("eagle",A33)),ISNUMBER(SEARCH("p250",A33)),ISNUMBER(SEARCH("berettas",A33))), "Pistol", TRUE, "SMG")</f>
        <v>Sniper</v>
      </c>
      <c r="C33" s="16">
        <v>350</v>
      </c>
      <c r="D33" s="16">
        <v>450</v>
      </c>
      <c r="E33" s="11">
        <f t="shared" si="6"/>
        <v>27</v>
      </c>
      <c r="F33" s="13">
        <f t="shared" si="7"/>
        <v>423</v>
      </c>
      <c r="G33" s="13">
        <f t="shared" si="8"/>
        <v>73</v>
      </c>
      <c r="H33" s="2">
        <f t="shared" si="9"/>
        <v>20.857142857142858</v>
      </c>
    </row>
    <row r="34" spans="1:8" x14ac:dyDescent="0.25">
      <c r="A34" t="s">
        <v>31</v>
      </c>
      <c r="B34" s="17" t="str" cm="1">
        <f t="array" ref="B34">_xlfn.IFS(OR(ISNUMBER(SEARCH("survival",A34)),ISNUMBER(SEARCH("nomad",A34)),ISNUMBER(SEARCH("bayonet",A34)),ISNUMBER(SEARCH("falchion",A34)),ISNUMBER(SEARCH("m9 ",A34)),ISNUMBER(SEARCH("butterfly",A34)),ISNUMBER(SEARCH("skeleton",A34)),ISNUMBER(SEARCH("paracord",A34)),ISNUMBER(SEARCH("classic",A34))), "Knives", OR(ISNUMBER(SEARCH("glove",A34))), "Gloves", OR(ISNUMBER(SEARCH("sticker",A34)),AND(ISNUMBER(SEARCH("fallen",A34)),NOT(ISNUMBER(SEARCH("awp",A34))),NOT(ISNUMBER(SEARCH("ak",A34))))), "Sticker", OR(ISNUMBER(SEARCH("ak ",A34)),ISNUMBER(SEARCH("ak-",A34)),ISNUMBER(SEARCH("m4a1",A34)),ISNUMBER(SEARCH("m4a4",A34)),ISNUMBER(SEARCH("galil",A34)),ISNUMBER(SEARCH("famas",A34))), "Rifles", OR(ISNUMBER(SEARCH("awp",A34)),ISNUMBER(SEARCH("ssg",A34))), "Sniper", OR(ISNUMBER(SEARCH("usp",A34)),ISNUMBER(SEARCH("glock",A34)),ISNUMBER(SEARCH("eagle",A34)),ISNUMBER(SEARCH("p250",A34)),ISNUMBER(SEARCH("berettas",A34))), "Pistol", TRUE, "SMG")</f>
        <v>Sniper</v>
      </c>
      <c r="C34" s="16">
        <v>800</v>
      </c>
      <c r="D34" s="16">
        <v>950</v>
      </c>
      <c r="E34" s="11">
        <f t="shared" si="6"/>
        <v>57</v>
      </c>
      <c r="F34" s="13">
        <f t="shared" si="7"/>
        <v>893</v>
      </c>
      <c r="G34" s="13">
        <f t="shared" si="8"/>
        <v>93</v>
      </c>
      <c r="H34" s="2">
        <f t="shared" si="9"/>
        <v>11.625</v>
      </c>
    </row>
    <row r="35" spans="1:8" x14ac:dyDescent="0.25">
      <c r="A35" s="3" t="s">
        <v>41</v>
      </c>
      <c r="B35" s="19" t="str" cm="1">
        <f t="array" ref="B35">_xlfn.IFS(OR(ISNUMBER(SEARCH("survival",A35)),ISNUMBER(SEARCH("nomad",A35)),ISNUMBER(SEARCH("bayonet",A35)),ISNUMBER(SEARCH("falchion",A35)),ISNUMBER(SEARCH("m9 ",A35)),ISNUMBER(SEARCH("butterfly",A35)),ISNUMBER(SEARCH("skeleton",A35)),ISNUMBER(SEARCH("paracord",A35)),ISNUMBER(SEARCH("classic",A35))), "Knives", OR(ISNUMBER(SEARCH("glove",A35))), "Gloves", OR(ISNUMBER(SEARCH("sticker",A35)),AND(ISNUMBER(SEARCH("fallen",A35)),NOT(ISNUMBER(SEARCH("awp",A35))),NOT(ISNUMBER(SEARCH("ak",A35))))), "Sticker", OR(ISNUMBER(SEARCH("ak ",A35)),ISNUMBER(SEARCH("ak-",A35)),ISNUMBER(SEARCH("m4a1",A35)),ISNUMBER(SEARCH("m4a4",A35)),ISNUMBER(SEARCH("galil",A35)),ISNUMBER(SEARCH("famas",A35))), "Rifles", OR(ISNUMBER(SEARCH("awp",A35)),ISNUMBER(SEARCH("ssg",A35))), "Sniper", OR(ISNUMBER(SEARCH("usp",A35)),ISNUMBER(SEARCH("glock",A35)),ISNUMBER(SEARCH("eagle",A35)),ISNUMBER(SEARCH("p250",A35)),ISNUMBER(SEARCH("berettas",A35))), "Pistol", TRUE, "SMG")</f>
        <v>Rifles</v>
      </c>
      <c r="C35" s="16">
        <v>350</v>
      </c>
      <c r="D35" s="16">
        <v>450</v>
      </c>
      <c r="E35" s="11">
        <f t="shared" si="6"/>
        <v>27</v>
      </c>
      <c r="F35" s="13">
        <f t="shared" si="7"/>
        <v>423</v>
      </c>
      <c r="G35" s="13">
        <f t="shared" si="8"/>
        <v>73</v>
      </c>
      <c r="H35" s="2">
        <f t="shared" si="9"/>
        <v>20.857142857142858</v>
      </c>
    </row>
    <row r="36" spans="1:8" x14ac:dyDescent="0.25">
      <c r="A36" t="s">
        <v>42</v>
      </c>
      <c r="B36" s="17" t="str" cm="1">
        <f t="array" ref="B36">_xlfn.IFS(OR(ISNUMBER(SEARCH("survival",A36)),ISNUMBER(SEARCH("nomad",A36)),ISNUMBER(SEARCH("bayonet",A36)),ISNUMBER(SEARCH("falchion",A36)),ISNUMBER(SEARCH("m9 ",A36)),ISNUMBER(SEARCH("butterfly",A36)),ISNUMBER(SEARCH("skeleton",A36)),ISNUMBER(SEARCH("paracord",A36)),ISNUMBER(SEARCH("classic",A36))), "Knives", OR(ISNUMBER(SEARCH("glove",A36))), "Gloves", OR(ISNUMBER(SEARCH("sticker",A36)),AND(ISNUMBER(SEARCH("fallen",A36)),NOT(ISNUMBER(SEARCH("awp",A36))),NOT(ISNUMBER(SEARCH("ak",A36))))), "Sticker", OR(ISNUMBER(SEARCH("ak ",A36)),ISNUMBER(SEARCH("ak-",A36)),ISNUMBER(SEARCH("m4a1",A36)),ISNUMBER(SEARCH("m4a4",A36)),ISNUMBER(SEARCH("galil",A36)),ISNUMBER(SEARCH("famas",A36))), "Rifles", OR(ISNUMBER(SEARCH("awp",A36)),ISNUMBER(SEARCH("ssg",A36))), "Sniper", OR(ISNUMBER(SEARCH("usp",A36)),ISNUMBER(SEARCH("glock",A36)),ISNUMBER(SEARCH("eagle",A36)),ISNUMBER(SEARCH("p250",A36)),ISNUMBER(SEARCH("berettas",A36))), "Pistol", TRUE, "SMG")</f>
        <v>Pistol</v>
      </c>
      <c r="C36" s="16">
        <v>250</v>
      </c>
      <c r="D36" s="16">
        <v>430</v>
      </c>
      <c r="E36" s="11">
        <f t="shared" si="6"/>
        <v>25.8</v>
      </c>
      <c r="F36" s="13">
        <f t="shared" si="7"/>
        <v>404.2</v>
      </c>
      <c r="G36" s="13">
        <f t="shared" si="8"/>
        <v>154.19999999999999</v>
      </c>
      <c r="H36" s="2">
        <f t="shared" si="9"/>
        <v>61.679999999999993</v>
      </c>
    </row>
    <row r="37" spans="1:8" x14ac:dyDescent="0.25">
      <c r="A37" t="s">
        <v>43</v>
      </c>
      <c r="B37" s="17" t="str" cm="1">
        <f t="array" ref="B37">_xlfn.IFS(OR(ISNUMBER(SEARCH("survival",A37)),ISNUMBER(SEARCH("nomad",A37)),ISNUMBER(SEARCH("bayonet",A37)),ISNUMBER(SEARCH("falchion",A37)),ISNUMBER(SEARCH("m9 ",A37)),ISNUMBER(SEARCH("butterfly",A37)),ISNUMBER(SEARCH("skeleton",A37)),ISNUMBER(SEARCH("paracord",A37)),ISNUMBER(SEARCH("classic",A37))), "Knives", OR(ISNUMBER(SEARCH("glove",A37))), "Gloves", OR(ISNUMBER(SEARCH("sticker",A37)),AND(ISNUMBER(SEARCH("fallen",A37)),NOT(ISNUMBER(SEARCH("awp",A37))),NOT(ISNUMBER(SEARCH("ak",A37))))), "Sticker", OR(ISNUMBER(SEARCH("ak ",A37)),ISNUMBER(SEARCH("ak-",A37)),ISNUMBER(SEARCH("m4a1",A37)),ISNUMBER(SEARCH("m4a4",A37)),ISNUMBER(SEARCH("galil",A37)),ISNUMBER(SEARCH("famas",A37))), "Rifles", OR(ISNUMBER(SEARCH("awp",A37)),ISNUMBER(SEARCH("ssg",A37))), "Sniper", OR(ISNUMBER(SEARCH("usp",A37)),ISNUMBER(SEARCH("glock",A37)),ISNUMBER(SEARCH("eagle",A37)),ISNUMBER(SEARCH("p250",A37)),ISNUMBER(SEARCH("berettas",A37))), "Pistol", TRUE, "SMG")</f>
        <v>Pistol</v>
      </c>
      <c r="C37" s="16">
        <v>52</v>
      </c>
      <c r="D37" s="16">
        <v>98</v>
      </c>
      <c r="E37" s="11">
        <f t="shared" si="6"/>
        <v>5.88</v>
      </c>
      <c r="F37" s="13">
        <f t="shared" si="7"/>
        <v>92.12</v>
      </c>
      <c r="G37" s="13">
        <f t="shared" si="8"/>
        <v>40.120000000000005</v>
      </c>
      <c r="H37" s="2">
        <f t="shared" si="9"/>
        <v>77.15384615384616</v>
      </c>
    </row>
    <row r="38" spans="1:8" x14ac:dyDescent="0.25">
      <c r="A38" t="s">
        <v>44</v>
      </c>
      <c r="B38" s="17" t="str" cm="1">
        <f t="array" ref="B38">_xlfn.IFS(OR(ISNUMBER(SEARCH("survival",A38)),ISNUMBER(SEARCH("nomad",A38)),ISNUMBER(SEARCH("bayonet",A38)),ISNUMBER(SEARCH("falchion",A38)),ISNUMBER(SEARCH("m9 ",A38)),ISNUMBER(SEARCH("butterfly",A38)),ISNUMBER(SEARCH("skeleton",A38)),ISNUMBER(SEARCH("paracord",A38)),ISNUMBER(SEARCH("classic",A38))), "Knives", OR(ISNUMBER(SEARCH("glove",A38))), "Gloves", OR(ISNUMBER(SEARCH("sticker",A38)),AND(ISNUMBER(SEARCH("fallen",A38)),NOT(ISNUMBER(SEARCH("awp",A38))),NOT(ISNUMBER(SEARCH("ak",A38))))), "Sticker", OR(ISNUMBER(SEARCH("ak ",A38)),ISNUMBER(SEARCH("ak-",A38)),ISNUMBER(SEARCH("m4a1",A38)),ISNUMBER(SEARCH("m4a4",A38)),ISNUMBER(SEARCH("galil",A38)),ISNUMBER(SEARCH("famas",A38))), "Rifles", OR(ISNUMBER(SEARCH("awp",A38)),ISNUMBER(SEARCH("ssg",A38))), "Sniper", OR(ISNUMBER(SEARCH("usp",A38)),ISNUMBER(SEARCH("glock",A38)),ISNUMBER(SEARCH("eagle",A38)),ISNUMBER(SEARCH("p250",A38)),ISNUMBER(SEARCH("berettas",A38))), "Pistol", TRUE, "SMG")</f>
        <v>SMG</v>
      </c>
      <c r="C38" s="16">
        <v>85</v>
      </c>
      <c r="D38" s="16">
        <v>100</v>
      </c>
      <c r="E38" s="11">
        <f t="shared" si="6"/>
        <v>6</v>
      </c>
      <c r="F38" s="13">
        <f t="shared" si="7"/>
        <v>94</v>
      </c>
      <c r="G38" s="13">
        <f t="shared" si="8"/>
        <v>9</v>
      </c>
      <c r="H38" s="2">
        <f t="shared" si="9"/>
        <v>10.588235294117647</v>
      </c>
    </row>
    <row r="39" spans="1:8" x14ac:dyDescent="0.25">
      <c r="A39" t="s">
        <v>45</v>
      </c>
      <c r="B39" s="17" t="str" cm="1">
        <f t="array" ref="B39">_xlfn.IFS(OR(ISNUMBER(SEARCH("survival",A39)),ISNUMBER(SEARCH("nomad",A39)),ISNUMBER(SEARCH("bayonet",A39)),ISNUMBER(SEARCH("falchion",A39)),ISNUMBER(SEARCH("m9 ",A39)),ISNUMBER(SEARCH("butterfly",A39)),ISNUMBER(SEARCH("skeleton",A39)),ISNUMBER(SEARCH("paracord",A39)),ISNUMBER(SEARCH("classic",A39))), "Knives", OR(ISNUMBER(SEARCH("glove",A39))), "Gloves", OR(ISNUMBER(SEARCH("sticker",A39)),AND(ISNUMBER(SEARCH("fallen",A39)),NOT(ISNUMBER(SEARCH("awp",A39))),NOT(ISNUMBER(SEARCH("ak",A39))))), "Sticker", OR(ISNUMBER(SEARCH("ak ",A39)),ISNUMBER(SEARCH("ak-",A39)),ISNUMBER(SEARCH("m4a1",A39)),ISNUMBER(SEARCH("m4a4",A39)),ISNUMBER(SEARCH("galil",A39)),ISNUMBER(SEARCH("famas",A39))), "Rifles", OR(ISNUMBER(SEARCH("awp",A39)),ISNUMBER(SEARCH("ssg",A39))), "Sniper", OR(ISNUMBER(SEARCH("usp",A39)),ISNUMBER(SEARCH("glock",A39)),ISNUMBER(SEARCH("eagle",A39)),ISNUMBER(SEARCH("p250",A39)),ISNUMBER(SEARCH("berettas",A39))), "Pistol", TRUE, "SMG")</f>
        <v>Rifles</v>
      </c>
      <c r="C39" s="16">
        <v>96</v>
      </c>
      <c r="D39" s="16">
        <v>130</v>
      </c>
      <c r="E39" s="11">
        <f t="shared" si="6"/>
        <v>7.8</v>
      </c>
      <c r="F39" s="13">
        <f t="shared" si="7"/>
        <v>122.2</v>
      </c>
      <c r="G39" s="13">
        <f t="shared" si="8"/>
        <v>26.200000000000003</v>
      </c>
      <c r="H39" s="2">
        <f t="shared" si="9"/>
        <v>27.291666666666671</v>
      </c>
    </row>
    <row r="40" spans="1:8" x14ac:dyDescent="0.25">
      <c r="A40" t="s">
        <v>46</v>
      </c>
      <c r="B40" s="17" t="str" cm="1">
        <f t="array" ref="B40">_xlfn.IFS(OR(ISNUMBER(SEARCH("survival",A40)),ISNUMBER(SEARCH("nomad",A40)),ISNUMBER(SEARCH("bayonet",A40)),ISNUMBER(SEARCH("falchion",A40)),ISNUMBER(SEARCH("m9 ",A40)),ISNUMBER(SEARCH("butterfly",A40)),ISNUMBER(SEARCH("skeleton",A40)),ISNUMBER(SEARCH("paracord",A40)),ISNUMBER(SEARCH("classic",A40))), "Knives", OR(ISNUMBER(SEARCH("glove",A40))), "Gloves", OR(ISNUMBER(SEARCH("sticker",A40)),AND(ISNUMBER(SEARCH("fallen",A40)),NOT(ISNUMBER(SEARCH("awp",A40))),NOT(ISNUMBER(SEARCH("ak",A40))))), "Sticker", OR(ISNUMBER(SEARCH("ak ",A40)),ISNUMBER(SEARCH("ak-",A40)),ISNUMBER(SEARCH("m4a1",A40)),ISNUMBER(SEARCH("m4a4",A40)),ISNUMBER(SEARCH("galil",A40)),ISNUMBER(SEARCH("famas",A40))), "Rifles", OR(ISNUMBER(SEARCH("awp",A40)),ISNUMBER(SEARCH("ssg",A40))), "Sniper", OR(ISNUMBER(SEARCH("usp",A40)),ISNUMBER(SEARCH("glock",A40)),ISNUMBER(SEARCH("eagle",A40)),ISNUMBER(SEARCH("p250",A40)),ISNUMBER(SEARCH("berettas",A40))), "Pistol", TRUE, "SMG")</f>
        <v>Pistol</v>
      </c>
      <c r="C40" s="16">
        <v>44</v>
      </c>
      <c r="D40" s="16">
        <v>67</v>
      </c>
      <c r="E40" s="11">
        <f t="shared" si="6"/>
        <v>4.0199999999999996</v>
      </c>
      <c r="F40" s="13">
        <f t="shared" si="7"/>
        <v>62.980000000000004</v>
      </c>
      <c r="G40" s="13">
        <f t="shared" si="8"/>
        <v>18.980000000000004</v>
      </c>
      <c r="H40" s="2">
        <f t="shared" si="9"/>
        <v>43.136363636363647</v>
      </c>
    </row>
    <row r="41" spans="1:8" x14ac:dyDescent="0.25">
      <c r="A41" t="s">
        <v>47</v>
      </c>
      <c r="B41" s="17" t="str" cm="1">
        <f t="array" ref="B41">_xlfn.IFS(OR(ISNUMBER(SEARCH("survival",A41)),ISNUMBER(SEARCH("nomad",A41)),ISNUMBER(SEARCH("bayonet",A41)),ISNUMBER(SEARCH("falchion",A41)),ISNUMBER(SEARCH("m9 ",A41)),ISNUMBER(SEARCH("butterfly",A41)),ISNUMBER(SEARCH("skeleton",A41)),ISNUMBER(SEARCH("paracord",A41)),ISNUMBER(SEARCH("classic",A41))), "Knives", OR(ISNUMBER(SEARCH("glove",A41))), "Gloves", OR(ISNUMBER(SEARCH("sticker",A41)),AND(ISNUMBER(SEARCH("fallen",A41)),NOT(ISNUMBER(SEARCH("awp",A41))),NOT(ISNUMBER(SEARCH("ak",A41))))), "Sticker", OR(ISNUMBER(SEARCH("ak ",A41)),ISNUMBER(SEARCH("ak-",A41)),ISNUMBER(SEARCH("m4a1",A41)),ISNUMBER(SEARCH("m4a4",A41)),ISNUMBER(SEARCH("galil",A41)),ISNUMBER(SEARCH("famas",A41))), "Rifles", OR(ISNUMBER(SEARCH("awp",A41)),ISNUMBER(SEARCH("ssg",A41))), "Sniper", OR(ISNUMBER(SEARCH("usp",A41)),ISNUMBER(SEARCH("glock",A41)),ISNUMBER(SEARCH("eagle",A41)),ISNUMBER(SEARCH("p250",A41)),ISNUMBER(SEARCH("berettas",A41))), "Pistol", TRUE, "SMG")</f>
        <v>Pistol</v>
      </c>
      <c r="C41" s="16">
        <v>54</v>
      </c>
      <c r="D41" s="16">
        <v>76</v>
      </c>
      <c r="E41" s="11">
        <f t="shared" si="6"/>
        <v>4.5599999999999996</v>
      </c>
      <c r="F41" s="13">
        <f t="shared" si="7"/>
        <v>71.44</v>
      </c>
      <c r="G41" s="13">
        <f t="shared" si="8"/>
        <v>17.439999999999998</v>
      </c>
      <c r="H41" s="2">
        <f t="shared" si="9"/>
        <v>32.296296296296291</v>
      </c>
    </row>
    <row r="42" spans="1:8" x14ac:dyDescent="0.25">
      <c r="A42" t="s">
        <v>37</v>
      </c>
      <c r="B42" s="17" t="str" cm="1">
        <f t="array" ref="B42">_xlfn.IFS(OR(ISNUMBER(SEARCH("survival",A42)),ISNUMBER(SEARCH("nomad",A42)),ISNUMBER(SEARCH("bayonet",A42)),ISNUMBER(SEARCH("falchion",A42)),ISNUMBER(SEARCH("m9 ",A42)),ISNUMBER(SEARCH("butterfly",A42)),ISNUMBER(SEARCH("skeleton",A42)),ISNUMBER(SEARCH("paracord",A42)),ISNUMBER(SEARCH("classic",A42))), "Knives", OR(ISNUMBER(SEARCH("glove",A42))), "Gloves", OR(ISNUMBER(SEARCH("sticker",A42)),AND(ISNUMBER(SEARCH("fallen",A42)),NOT(ISNUMBER(SEARCH("awp",A42))),NOT(ISNUMBER(SEARCH("ak",A42))))), "Sticker", OR(ISNUMBER(SEARCH("ak ",A42)),ISNUMBER(SEARCH("ak-",A42)),ISNUMBER(SEARCH("m4a1",A42)),ISNUMBER(SEARCH("m4a4",A42)),ISNUMBER(SEARCH("galil",A42)),ISNUMBER(SEARCH("famas",A42))), "Rifles", OR(ISNUMBER(SEARCH("awp",A42)),ISNUMBER(SEARCH("ssg",A42))), "Sniper", OR(ISNUMBER(SEARCH("usp",A42)),ISNUMBER(SEARCH("glock",A42)),ISNUMBER(SEARCH("eagle",A42)),ISNUMBER(SEARCH("p250",A42)),ISNUMBER(SEARCH("berettas",A42))), "Pistol", TRUE, "SMG")</f>
        <v>Rifles</v>
      </c>
      <c r="C42" s="16">
        <v>600</v>
      </c>
      <c r="D42" s="16">
        <v>800</v>
      </c>
      <c r="E42" s="11">
        <f t="shared" si="6"/>
        <v>48</v>
      </c>
      <c r="F42" s="13">
        <f t="shared" si="7"/>
        <v>752</v>
      </c>
      <c r="G42" s="13">
        <f t="shared" si="8"/>
        <v>152</v>
      </c>
      <c r="H42" s="2">
        <f t="shared" si="9"/>
        <v>25.333333333333336</v>
      </c>
    </row>
    <row r="43" spans="1:8" x14ac:dyDescent="0.25">
      <c r="A43" t="s">
        <v>48</v>
      </c>
      <c r="B43" s="17" t="str" cm="1">
        <f t="array" ref="B43">_xlfn.IFS(OR(ISNUMBER(SEARCH("survival",A43)),ISNUMBER(SEARCH("nomad",A43)),ISNUMBER(SEARCH("bayonet",A43)),ISNUMBER(SEARCH("falchion",A43)),ISNUMBER(SEARCH("m9 ",A43)),ISNUMBER(SEARCH("butterfly",A43)),ISNUMBER(SEARCH("skeleton",A43)),ISNUMBER(SEARCH("paracord",A43)),ISNUMBER(SEARCH("classic",A43))), "Knives", OR(ISNUMBER(SEARCH("glove",A43))), "Gloves", OR(ISNUMBER(SEARCH("sticker",A43)),AND(ISNUMBER(SEARCH("fallen",A43)),NOT(ISNUMBER(SEARCH("awp",A43))),NOT(ISNUMBER(SEARCH("ak",A43))))), "Sticker", OR(ISNUMBER(SEARCH("ak ",A43)),ISNUMBER(SEARCH("ak-",A43)),ISNUMBER(SEARCH("m4a1",A43)),ISNUMBER(SEARCH("m4a4",A43)),ISNUMBER(SEARCH("galil",A43)),ISNUMBER(SEARCH("famas",A43))), "Rifles", OR(ISNUMBER(SEARCH("awp",A43)),ISNUMBER(SEARCH("ssg",A43))), "Sniper", OR(ISNUMBER(SEARCH("usp",A43)),ISNUMBER(SEARCH("glock",A43)),ISNUMBER(SEARCH("eagle",A43)),ISNUMBER(SEARCH("p250",A43)),ISNUMBER(SEARCH("berettas",A43))), "Pistol", TRUE, "SMG")</f>
        <v>Pistol</v>
      </c>
      <c r="C43" s="16">
        <v>240</v>
      </c>
      <c r="D43" s="16">
        <v>300</v>
      </c>
      <c r="E43" s="11">
        <f t="shared" si="6"/>
        <v>18</v>
      </c>
      <c r="F43" s="13">
        <f t="shared" si="7"/>
        <v>282</v>
      </c>
      <c r="G43" s="13">
        <f t="shared" si="8"/>
        <v>42</v>
      </c>
      <c r="H43" s="2">
        <f t="shared" si="9"/>
        <v>17.5</v>
      </c>
    </row>
    <row r="44" spans="1:8" x14ac:dyDescent="0.25">
      <c r="A44" t="s">
        <v>49</v>
      </c>
      <c r="B44" s="17" t="str" cm="1">
        <f t="array" ref="B44">_xlfn.IFS(OR(ISNUMBER(SEARCH("survival",A44)),ISNUMBER(SEARCH("nomad",A44)),ISNUMBER(SEARCH("bayonet",A44)),ISNUMBER(SEARCH("falchion",A44)),ISNUMBER(SEARCH("m9 ",A44)),ISNUMBER(SEARCH("butterfly",A44)),ISNUMBER(SEARCH("skeleton",A44)),ISNUMBER(SEARCH("paracord",A44)),ISNUMBER(SEARCH("classic",A44))), "Knives", OR(ISNUMBER(SEARCH("glove",A44))), "Gloves", OR(ISNUMBER(SEARCH("sticker",A44)),AND(ISNUMBER(SEARCH("fallen",A44)),NOT(ISNUMBER(SEARCH("awp",A44))),NOT(ISNUMBER(SEARCH("ak",A44))))), "Sticker", OR(ISNUMBER(SEARCH("ak ",A44)),ISNUMBER(SEARCH("ak-",A44)),ISNUMBER(SEARCH("m4a1",A44)),ISNUMBER(SEARCH("m4a4",A44)),ISNUMBER(SEARCH("galil",A44)),ISNUMBER(SEARCH("famas",A44))), "Rifles", OR(ISNUMBER(SEARCH("awp",A44)),ISNUMBER(SEARCH("ssg",A44))), "Sniper", OR(ISNUMBER(SEARCH("usp",A44)),ISNUMBER(SEARCH("glock",A44)),ISNUMBER(SEARCH("eagle",A44)),ISNUMBER(SEARCH("p250",A44)),ISNUMBER(SEARCH("berettas",A44))), "Pistol", TRUE, "SMG")</f>
        <v>Rifles</v>
      </c>
      <c r="C44" s="16">
        <v>41</v>
      </c>
      <c r="D44" s="16">
        <v>73</v>
      </c>
      <c r="E44" s="11">
        <f t="shared" si="6"/>
        <v>4.38</v>
      </c>
      <c r="F44" s="13">
        <f t="shared" si="7"/>
        <v>68.62</v>
      </c>
      <c r="G44" s="13">
        <f t="shared" si="8"/>
        <v>27.620000000000005</v>
      </c>
      <c r="H44" s="2">
        <f t="shared" si="9"/>
        <v>67.365853658536594</v>
      </c>
    </row>
    <row r="45" spans="1:8" x14ac:dyDescent="0.25">
      <c r="A45" t="s">
        <v>50</v>
      </c>
      <c r="B45" s="17" t="str" cm="1">
        <f t="array" ref="B45">_xlfn.IFS(OR(ISNUMBER(SEARCH("survival",A45)),ISNUMBER(SEARCH("nomad",A45)),ISNUMBER(SEARCH("bayonet",A45)),ISNUMBER(SEARCH("falchion",A45)),ISNUMBER(SEARCH("m9 ",A45)),ISNUMBER(SEARCH("butterfly",A45)),ISNUMBER(SEARCH("skeleton",A45)),ISNUMBER(SEARCH("paracord",A45)),ISNUMBER(SEARCH("classic",A45))), "Knives", OR(ISNUMBER(SEARCH("glove",A45))), "Gloves", OR(ISNUMBER(SEARCH("sticker",A45)),AND(ISNUMBER(SEARCH("fallen",A45)),NOT(ISNUMBER(SEARCH("awp",A45))),NOT(ISNUMBER(SEARCH("ak",A45))))), "Sticker", OR(ISNUMBER(SEARCH("ak ",A45)),ISNUMBER(SEARCH("ak-",A45)),ISNUMBER(SEARCH("m4a1",A45)),ISNUMBER(SEARCH("m4a4",A45)),ISNUMBER(SEARCH("galil",A45)),ISNUMBER(SEARCH("famas",A45))), "Rifles", OR(ISNUMBER(SEARCH("awp",A45)),ISNUMBER(SEARCH("ssg",A45))), "Sniper", OR(ISNUMBER(SEARCH("usp",A45)),ISNUMBER(SEARCH("glock",A45)),ISNUMBER(SEARCH("eagle",A45)),ISNUMBER(SEARCH("p250",A45)),ISNUMBER(SEARCH("berettas",A45))), "Pistol", TRUE, "SMG")</f>
        <v>Knives</v>
      </c>
      <c r="C45" s="16">
        <v>2800</v>
      </c>
      <c r="D45" s="16">
        <v>3400</v>
      </c>
      <c r="E45" s="11">
        <f t="shared" si="6"/>
        <v>204</v>
      </c>
      <c r="F45" s="13">
        <f t="shared" si="7"/>
        <v>3196</v>
      </c>
      <c r="G45" s="13">
        <f t="shared" si="8"/>
        <v>396</v>
      </c>
      <c r="H45" s="2">
        <f t="shared" si="9"/>
        <v>14.142857142857142</v>
      </c>
    </row>
    <row r="46" spans="1:8" x14ac:dyDescent="0.25">
      <c r="A46" t="s">
        <v>51</v>
      </c>
      <c r="B46" s="17" t="str" cm="1">
        <f t="array" ref="B46">_xlfn.IFS(OR(ISNUMBER(SEARCH("survival",A46)),ISNUMBER(SEARCH("nomad",A46)),ISNUMBER(SEARCH("bayonet",A46)),ISNUMBER(SEARCH("falchion",A46)),ISNUMBER(SEARCH("m9 ",A46)),ISNUMBER(SEARCH("butterfly",A46)),ISNUMBER(SEARCH("skeleton",A46)),ISNUMBER(SEARCH("paracord",A46)),ISNUMBER(SEARCH("classic",A46))), "Knives", OR(ISNUMBER(SEARCH("glove",A46))), "Gloves", OR(ISNUMBER(SEARCH("sticker",A46)),AND(ISNUMBER(SEARCH("fallen",A46)),NOT(ISNUMBER(SEARCH("awp",A46))),NOT(ISNUMBER(SEARCH("ak",A46))))), "Sticker", OR(ISNUMBER(SEARCH("ak ",A46)),ISNUMBER(SEARCH("ak-",A46)),ISNUMBER(SEARCH("m4a1",A46)),ISNUMBER(SEARCH("m4a4",A46)),ISNUMBER(SEARCH("galil",A46)),ISNUMBER(SEARCH("famas",A46))), "Rifles", OR(ISNUMBER(SEARCH("awp",A46)),ISNUMBER(SEARCH("ssg",A46))), "Sniper", OR(ISNUMBER(SEARCH("usp",A46)),ISNUMBER(SEARCH("glock",A46)),ISNUMBER(SEARCH("eagle",A46)),ISNUMBER(SEARCH("p250",A46)),ISNUMBER(SEARCH("berettas",A46))), "Pistol", TRUE, "SMG")</f>
        <v>Sniper</v>
      </c>
      <c r="C46" s="16">
        <v>1170</v>
      </c>
      <c r="D46" s="16">
        <v>1800</v>
      </c>
      <c r="E46" s="11">
        <f t="shared" si="6"/>
        <v>108</v>
      </c>
      <c r="F46" s="13">
        <f t="shared" si="7"/>
        <v>1692</v>
      </c>
      <c r="G46" s="13">
        <f t="shared" si="8"/>
        <v>522</v>
      </c>
      <c r="H46" s="2">
        <f t="shared" si="9"/>
        <v>44.61538461538462</v>
      </c>
    </row>
    <row r="47" spans="1:8" x14ac:dyDescent="0.25">
      <c r="A47" t="s">
        <v>52</v>
      </c>
      <c r="B47" s="17" t="str" cm="1">
        <f t="array" ref="B47">_xlfn.IFS(OR(ISNUMBER(SEARCH("survival",A47)),ISNUMBER(SEARCH("nomad",A47)),ISNUMBER(SEARCH("bayonet",A47)),ISNUMBER(SEARCH("falchion",A47)),ISNUMBER(SEARCH("m9 ",A47)),ISNUMBER(SEARCH("butterfly",A47)),ISNUMBER(SEARCH("skeleton",A47)),ISNUMBER(SEARCH("paracord",A47)),ISNUMBER(SEARCH("classic",A47))), "Knives", OR(ISNUMBER(SEARCH("glove",A47))), "Gloves", OR(ISNUMBER(SEARCH("sticker",A47)),AND(ISNUMBER(SEARCH("fallen",A47)),NOT(ISNUMBER(SEARCH("awp",A47))),NOT(ISNUMBER(SEARCH("ak",A47))))), "Sticker", OR(ISNUMBER(SEARCH("ak ",A47)),ISNUMBER(SEARCH("ak-",A47)),ISNUMBER(SEARCH("m4a1",A47)),ISNUMBER(SEARCH("m4a4",A47)),ISNUMBER(SEARCH("galil",A47)),ISNUMBER(SEARCH("famas",A47))), "Rifles", OR(ISNUMBER(SEARCH("awp",A47)),ISNUMBER(SEARCH("ssg",A47))), "Sniper", OR(ISNUMBER(SEARCH("usp",A47)),ISNUMBER(SEARCH("glock",A47)),ISNUMBER(SEARCH("eagle",A47)),ISNUMBER(SEARCH("p250",A47)),ISNUMBER(SEARCH("berettas",A47))), "Pistol", TRUE, "SMG")</f>
        <v>Knives</v>
      </c>
      <c r="C47" s="16">
        <v>670</v>
      </c>
      <c r="D47" s="16">
        <v>800</v>
      </c>
      <c r="E47" s="11">
        <f t="shared" si="6"/>
        <v>48</v>
      </c>
      <c r="F47" s="13">
        <f t="shared" si="7"/>
        <v>752</v>
      </c>
      <c r="G47" s="13">
        <f t="shared" si="8"/>
        <v>82</v>
      </c>
      <c r="H47" s="2">
        <f t="shared" si="9"/>
        <v>12.238805970149254</v>
      </c>
    </row>
    <row r="48" spans="1:8" x14ac:dyDescent="0.25">
      <c r="A48" t="s">
        <v>29</v>
      </c>
      <c r="B48" s="17" t="str" cm="1">
        <f t="array" ref="B48">_xlfn.IFS(OR(ISNUMBER(SEARCH("survival",A48)),ISNUMBER(SEARCH("nomad",A48)),ISNUMBER(SEARCH("bayonet",A48)),ISNUMBER(SEARCH("falchion",A48)),ISNUMBER(SEARCH("m9 ",A48)),ISNUMBER(SEARCH("butterfly",A48)),ISNUMBER(SEARCH("skeleton",A48)),ISNUMBER(SEARCH("paracord",A48)),ISNUMBER(SEARCH("classic",A48))), "Knives", OR(ISNUMBER(SEARCH("glove",A48))), "Gloves", OR(ISNUMBER(SEARCH("sticker",A48)),AND(ISNUMBER(SEARCH("fallen",A48)),NOT(ISNUMBER(SEARCH("awp",A48))),NOT(ISNUMBER(SEARCH("ak",A48))))), "Sticker", OR(ISNUMBER(SEARCH("ak ",A48)),ISNUMBER(SEARCH("ak-",A48)),ISNUMBER(SEARCH("m4a1",A48)),ISNUMBER(SEARCH("m4a4",A48)),ISNUMBER(SEARCH("galil",A48)),ISNUMBER(SEARCH("famas",A48))), "Rifles", OR(ISNUMBER(SEARCH("awp",A48)),ISNUMBER(SEARCH("ssg",A48))), "Sniper", OR(ISNUMBER(SEARCH("usp",A48)),ISNUMBER(SEARCH("glock",A48)),ISNUMBER(SEARCH("eagle",A48)),ISNUMBER(SEARCH("p250",A48)),ISNUMBER(SEARCH("berettas",A48))), "Pistol", TRUE, "SMG")</f>
        <v>Rifles</v>
      </c>
      <c r="C48" s="16">
        <v>840</v>
      </c>
      <c r="D48" s="16">
        <v>950</v>
      </c>
      <c r="E48" s="11">
        <f t="shared" si="6"/>
        <v>57</v>
      </c>
      <c r="F48" s="13">
        <f t="shared" si="7"/>
        <v>893</v>
      </c>
      <c r="G48" s="13">
        <f t="shared" si="8"/>
        <v>53</v>
      </c>
      <c r="H48" s="2">
        <f t="shared" si="9"/>
        <v>6.3095238095238093</v>
      </c>
    </row>
    <row r="49" spans="1:13" x14ac:dyDescent="0.25">
      <c r="A49" t="s">
        <v>53</v>
      </c>
      <c r="B49" s="17" t="str" cm="1">
        <f t="array" ref="B49">_xlfn.IFS(OR(ISNUMBER(SEARCH("survival",A49)),ISNUMBER(SEARCH("nomad",A49)),ISNUMBER(SEARCH("bayonet",A49)),ISNUMBER(SEARCH("falchion",A49)),ISNUMBER(SEARCH("m9 ",A49)),ISNUMBER(SEARCH("butterfly",A49)),ISNUMBER(SEARCH("skeleton",A49)),ISNUMBER(SEARCH("paracord",A49)),ISNUMBER(SEARCH("classic",A49))), "Knives", OR(ISNUMBER(SEARCH("glove",A49))), "Gloves", OR(ISNUMBER(SEARCH("sticker",A49)),AND(ISNUMBER(SEARCH("fallen",A49)),NOT(ISNUMBER(SEARCH("awp",A49))),NOT(ISNUMBER(SEARCH("ak",A49))))), "Sticker", OR(ISNUMBER(SEARCH("ak ",A49)),ISNUMBER(SEARCH("ak-",A49)),ISNUMBER(SEARCH("m4a1",A49)),ISNUMBER(SEARCH("m4a4",A49)),ISNUMBER(SEARCH("galil",A49)),ISNUMBER(SEARCH("famas",A49))), "Rifles", OR(ISNUMBER(SEARCH("awp",A49)),ISNUMBER(SEARCH("ssg",A49))), "Sniper", OR(ISNUMBER(SEARCH("usp",A49)),ISNUMBER(SEARCH("glock",A49)),ISNUMBER(SEARCH("eagle",A49)),ISNUMBER(SEARCH("p250",A49)),ISNUMBER(SEARCH("berettas",A49))), "Pistol", TRUE, "SMG")</f>
        <v>Knives</v>
      </c>
      <c r="C49" s="16">
        <v>2600</v>
      </c>
      <c r="D49" s="16">
        <v>2815</v>
      </c>
      <c r="E49" s="11">
        <f t="shared" si="6"/>
        <v>168.9</v>
      </c>
      <c r="F49" s="13">
        <f t="shared" si="7"/>
        <v>2646.1</v>
      </c>
      <c r="G49" s="13">
        <f t="shared" si="8"/>
        <v>46.099999999999909</v>
      </c>
      <c r="H49" s="2">
        <f t="shared" si="9"/>
        <v>1.7730769230769197</v>
      </c>
    </row>
    <row r="50" spans="1:13" x14ac:dyDescent="0.25">
      <c r="A50" t="s">
        <v>29</v>
      </c>
      <c r="B50" s="17" t="str" cm="1">
        <f t="array" ref="B50">_xlfn.IFS(OR(ISNUMBER(SEARCH("survival",A50)),ISNUMBER(SEARCH("nomad",A50)),ISNUMBER(SEARCH("bayonet",A50)),ISNUMBER(SEARCH("falchion",A50)),ISNUMBER(SEARCH("m9 ",A50)),ISNUMBER(SEARCH("butterfly",A50)),ISNUMBER(SEARCH("skeleton",A50)),ISNUMBER(SEARCH("paracord",A50)),ISNUMBER(SEARCH("classic",A50))), "Knives", OR(ISNUMBER(SEARCH("glove",A50))), "Gloves", OR(ISNUMBER(SEARCH("sticker",A50)),AND(ISNUMBER(SEARCH("fallen",A50)),NOT(ISNUMBER(SEARCH("awp",A50))),NOT(ISNUMBER(SEARCH("ak",A50))))), "Sticker", OR(ISNUMBER(SEARCH("ak ",A50)),ISNUMBER(SEARCH("ak-",A50)),ISNUMBER(SEARCH("m4a1",A50)),ISNUMBER(SEARCH("m4a4",A50)),ISNUMBER(SEARCH("galil",A50)),ISNUMBER(SEARCH("famas",A50))), "Rifles", OR(ISNUMBER(SEARCH("awp",A50)),ISNUMBER(SEARCH("ssg",A50))), "Sniper", OR(ISNUMBER(SEARCH("usp",A50)),ISNUMBER(SEARCH("glock",A50)),ISNUMBER(SEARCH("eagle",A50)),ISNUMBER(SEARCH("p250",A50)),ISNUMBER(SEARCH("berettas",A50))), "Pistol", TRUE, "SMG")</f>
        <v>Rifles</v>
      </c>
      <c r="C50" s="16">
        <v>800</v>
      </c>
      <c r="D50" s="16">
        <v>900</v>
      </c>
      <c r="E50" s="11">
        <f t="shared" si="6"/>
        <v>54</v>
      </c>
      <c r="F50" s="13">
        <f t="shared" si="7"/>
        <v>846</v>
      </c>
      <c r="G50" s="13">
        <f t="shared" si="8"/>
        <v>46</v>
      </c>
      <c r="H50" s="2">
        <f t="shared" si="9"/>
        <v>5.75</v>
      </c>
      <c r="L50" s="4"/>
      <c r="M50" s="5"/>
    </row>
    <row r="51" spans="1:13" x14ac:dyDescent="0.25">
      <c r="A51" t="s">
        <v>54</v>
      </c>
      <c r="B51" s="17" t="str" cm="1">
        <f t="array" ref="B51">_xlfn.IFS(OR(ISNUMBER(SEARCH("survival",A51)),ISNUMBER(SEARCH("nomad",A51)),ISNUMBER(SEARCH("bayonet",A51)),ISNUMBER(SEARCH("falchion",A51)),ISNUMBER(SEARCH("m9 ",A51)),ISNUMBER(SEARCH("butterfly",A51)),ISNUMBER(SEARCH("skeleton",A51)),ISNUMBER(SEARCH("paracord",A51)),ISNUMBER(SEARCH("classic",A51))), "Knives", OR(ISNUMBER(SEARCH("glove",A51))), "Gloves", OR(ISNUMBER(SEARCH("sticker",A51)),AND(ISNUMBER(SEARCH("fallen",A51)),NOT(ISNUMBER(SEARCH("awp",A51))),NOT(ISNUMBER(SEARCH("ak",A51))))), "Sticker", OR(ISNUMBER(SEARCH("ak ",A51)),ISNUMBER(SEARCH("ak-",A51)),ISNUMBER(SEARCH("m4a1",A51)),ISNUMBER(SEARCH("m4a4",A51)),ISNUMBER(SEARCH("galil",A51)),ISNUMBER(SEARCH("famas",A51))), "Rifles", OR(ISNUMBER(SEARCH("awp",A51)),ISNUMBER(SEARCH("ssg",A51))), "Sniper", OR(ISNUMBER(SEARCH("usp",A51)),ISNUMBER(SEARCH("glock",A51)),ISNUMBER(SEARCH("eagle",A51)),ISNUMBER(SEARCH("p250",A51)),ISNUMBER(SEARCH("berettas",A51))), "Pistol", TRUE, "SMG")</f>
        <v>Rifles</v>
      </c>
      <c r="C51" s="16">
        <v>250</v>
      </c>
      <c r="D51" s="16">
        <v>350</v>
      </c>
      <c r="E51" s="11">
        <f t="shared" si="6"/>
        <v>21</v>
      </c>
      <c r="F51" s="13">
        <f t="shared" si="7"/>
        <v>329</v>
      </c>
      <c r="G51" s="13">
        <f t="shared" si="8"/>
        <v>79</v>
      </c>
      <c r="H51" s="2">
        <f t="shared" si="9"/>
        <v>31.6</v>
      </c>
    </row>
    <row r="52" spans="1:13" x14ac:dyDescent="0.25">
      <c r="A52" t="s">
        <v>26</v>
      </c>
      <c r="B52" s="17" t="str" cm="1">
        <f t="array" ref="B52">_xlfn.IFS(OR(ISNUMBER(SEARCH("survival",A52)),ISNUMBER(SEARCH("nomad",A52)),ISNUMBER(SEARCH("bayonet",A52)),ISNUMBER(SEARCH("falchion",A52)),ISNUMBER(SEARCH("m9 ",A52)),ISNUMBER(SEARCH("butterfly",A52)),ISNUMBER(SEARCH("skeleton",A52)),ISNUMBER(SEARCH("paracord",A52)),ISNUMBER(SEARCH("classic",A52))), "Knives", OR(ISNUMBER(SEARCH("glove",A52))), "Gloves", OR(ISNUMBER(SEARCH("sticker",A52)),AND(ISNUMBER(SEARCH("fallen",A52)),NOT(ISNUMBER(SEARCH("awp",A52))),NOT(ISNUMBER(SEARCH("ak",A52))))), "Sticker", OR(ISNUMBER(SEARCH("ak ",A52)),ISNUMBER(SEARCH("ak-",A52)),ISNUMBER(SEARCH("m4a1",A52)),ISNUMBER(SEARCH("m4a4",A52)),ISNUMBER(SEARCH("galil",A52)),ISNUMBER(SEARCH("famas",A52))), "Rifles", OR(ISNUMBER(SEARCH("awp",A52)),ISNUMBER(SEARCH("ssg",A52))), "Sniper", OR(ISNUMBER(SEARCH("usp",A52)),ISNUMBER(SEARCH("glock",A52)),ISNUMBER(SEARCH("eagle",A52)),ISNUMBER(SEARCH("p250",A52)),ISNUMBER(SEARCH("berettas",A52))), "Pistol", TRUE, "SMG")</f>
        <v>Sticker</v>
      </c>
      <c r="C52" s="16">
        <v>42</v>
      </c>
      <c r="D52" s="16">
        <v>90</v>
      </c>
      <c r="E52" s="11">
        <f t="shared" si="6"/>
        <v>5.3999999999999995</v>
      </c>
      <c r="F52" s="13">
        <f t="shared" si="7"/>
        <v>84.6</v>
      </c>
      <c r="G52" s="13">
        <f t="shared" si="8"/>
        <v>42.599999999999994</v>
      </c>
      <c r="H52" s="7">
        <f t="shared" si="9"/>
        <v>101.42857142857142</v>
      </c>
    </row>
    <row r="53" spans="1:13" x14ac:dyDescent="0.25">
      <c r="A53" t="s">
        <v>55</v>
      </c>
      <c r="B53" s="17" t="str" cm="1">
        <f t="array" ref="B53">_xlfn.IFS(OR(ISNUMBER(SEARCH("survival",A53)),ISNUMBER(SEARCH("nomad",A53)),ISNUMBER(SEARCH("bayonet",A53)),ISNUMBER(SEARCH("falchion",A53)),ISNUMBER(SEARCH("m9 ",A53)),ISNUMBER(SEARCH("butterfly",A53)),ISNUMBER(SEARCH("skeleton",A53)),ISNUMBER(SEARCH("paracord",A53)),ISNUMBER(SEARCH("classic",A53))), "Knives", OR(ISNUMBER(SEARCH("glove",A53))), "Gloves", OR(ISNUMBER(SEARCH("sticker",A53)),AND(ISNUMBER(SEARCH("fallen",A53)),NOT(ISNUMBER(SEARCH("awp",A53))),NOT(ISNUMBER(SEARCH("ak",A53))))), "Sticker", OR(ISNUMBER(SEARCH("ak ",A53)),ISNUMBER(SEARCH("ak-",A53)),ISNUMBER(SEARCH("m4a1",A53)),ISNUMBER(SEARCH("m4a4",A53)),ISNUMBER(SEARCH("galil",A53)),ISNUMBER(SEARCH("famas",A53))), "Rifles", OR(ISNUMBER(SEARCH("awp",A53)),ISNUMBER(SEARCH("ssg",A53))), "Sniper", OR(ISNUMBER(SEARCH("usp",A53)),ISNUMBER(SEARCH("glock",A53)),ISNUMBER(SEARCH("eagle",A53)),ISNUMBER(SEARCH("p250",A53)),ISNUMBER(SEARCH("berettas",A53))), "Pistol", TRUE, "SMG")</f>
        <v>Sniper</v>
      </c>
      <c r="C53" s="16">
        <v>17</v>
      </c>
      <c r="D53" s="16">
        <v>50</v>
      </c>
      <c r="E53" s="11">
        <f t="shared" si="6"/>
        <v>3</v>
      </c>
      <c r="F53" s="13">
        <f t="shared" si="7"/>
        <v>47</v>
      </c>
      <c r="G53" s="13">
        <f t="shared" si="8"/>
        <v>30</v>
      </c>
      <c r="H53" s="2">
        <f t="shared" si="9"/>
        <v>176.47058823529412</v>
      </c>
    </row>
    <row r="54" spans="1:13" x14ac:dyDescent="0.25">
      <c r="A54" t="s">
        <v>27</v>
      </c>
      <c r="B54" s="17" t="str" cm="1">
        <f t="array" ref="B54">_xlfn.IFS(OR(ISNUMBER(SEARCH("survival",A54)),ISNUMBER(SEARCH("nomad",A54)),ISNUMBER(SEARCH("bayonet",A54)),ISNUMBER(SEARCH("falchion",A54)),ISNUMBER(SEARCH("m9 ",A54)),ISNUMBER(SEARCH("butterfly",A54)),ISNUMBER(SEARCH("skeleton",A54)),ISNUMBER(SEARCH("paracord",A54)),ISNUMBER(SEARCH("classic",A54))), "Knives", OR(ISNUMBER(SEARCH("glove",A54))), "Gloves", OR(ISNUMBER(SEARCH("sticker",A54)),AND(ISNUMBER(SEARCH("fallen",A54)),NOT(ISNUMBER(SEARCH("awp",A54))),NOT(ISNUMBER(SEARCH("ak",A54))))), "Sticker", OR(ISNUMBER(SEARCH("ak ",A54)),ISNUMBER(SEARCH("ak-",A54)),ISNUMBER(SEARCH("m4a1",A54)),ISNUMBER(SEARCH("m4a4",A54)),ISNUMBER(SEARCH("galil",A54)),ISNUMBER(SEARCH("famas",A54))), "Rifles", OR(ISNUMBER(SEARCH("awp",A54)),ISNUMBER(SEARCH("ssg",A54))), "Sniper", OR(ISNUMBER(SEARCH("usp",A54)),ISNUMBER(SEARCH("glock",A54)),ISNUMBER(SEARCH("eagle",A54)),ISNUMBER(SEARCH("p250",A54)),ISNUMBER(SEARCH("berettas",A54))), "Pistol", TRUE, "SMG")</f>
        <v>Sticker</v>
      </c>
      <c r="C54" s="16">
        <v>100</v>
      </c>
      <c r="D54" s="16">
        <v>200</v>
      </c>
      <c r="E54" s="11">
        <f t="shared" si="6"/>
        <v>12</v>
      </c>
      <c r="F54" s="13">
        <f t="shared" si="7"/>
        <v>188</v>
      </c>
      <c r="G54" s="13">
        <f t="shared" si="8"/>
        <v>88</v>
      </c>
      <c r="H54" s="2">
        <f t="shared" si="9"/>
        <v>88</v>
      </c>
    </row>
    <row r="55" spans="1:13" x14ac:dyDescent="0.25">
      <c r="A55" t="s">
        <v>29</v>
      </c>
      <c r="B55" s="17" t="str" cm="1">
        <f t="array" ref="B55">_xlfn.IFS(OR(ISNUMBER(SEARCH("survival",A55)),ISNUMBER(SEARCH("nomad",A55)),ISNUMBER(SEARCH("bayonet",A55)),ISNUMBER(SEARCH("falchion",A55)),ISNUMBER(SEARCH("m9 ",A55)),ISNUMBER(SEARCH("butterfly",A55)),ISNUMBER(SEARCH("skeleton",A55)),ISNUMBER(SEARCH("paracord",A55)),ISNUMBER(SEARCH("classic",A55))), "Knives", OR(ISNUMBER(SEARCH("glove",A55))), "Gloves", OR(ISNUMBER(SEARCH("sticker",A55)),AND(ISNUMBER(SEARCH("fallen",A55)),NOT(ISNUMBER(SEARCH("awp",A55))),NOT(ISNUMBER(SEARCH("ak",A55))))), "Sticker", OR(ISNUMBER(SEARCH("ak ",A55)),ISNUMBER(SEARCH("ak-",A55)),ISNUMBER(SEARCH("m4a1",A55)),ISNUMBER(SEARCH("m4a4",A55)),ISNUMBER(SEARCH("galil",A55)),ISNUMBER(SEARCH("famas",A55))), "Rifles", OR(ISNUMBER(SEARCH("awp",A55)),ISNUMBER(SEARCH("ssg",A55))), "Sniper", OR(ISNUMBER(SEARCH("usp",A55)),ISNUMBER(SEARCH("glock",A55)),ISNUMBER(SEARCH("eagle",A55)),ISNUMBER(SEARCH("p250",A55)),ISNUMBER(SEARCH("berettas",A55))), "Pistol", TRUE, "SMG")</f>
        <v>Rifles</v>
      </c>
      <c r="C55" s="16">
        <v>750</v>
      </c>
      <c r="D55" s="16">
        <v>845</v>
      </c>
      <c r="E55" s="11">
        <f t="shared" ref="E55:E86" si="10">D55*6%</f>
        <v>50.699999999999996</v>
      </c>
      <c r="F55" s="13">
        <f t="shared" ref="F55:F86" si="11">D55-E55</f>
        <v>794.3</v>
      </c>
      <c r="G55" s="13">
        <f t="shared" ref="G55:G86" si="12">F55-C55</f>
        <v>44.299999999999955</v>
      </c>
      <c r="H55" s="2">
        <f t="shared" ref="H55:H86" si="13">IF(C55&gt;0,(G55/C55)*100,0)</f>
        <v>5.906666666666661</v>
      </c>
    </row>
    <row r="56" spans="1:13" x14ac:dyDescent="0.25">
      <c r="A56" t="s">
        <v>56</v>
      </c>
      <c r="B56" s="17" t="str" cm="1">
        <f t="array" ref="B56">_xlfn.IFS(OR(ISNUMBER(SEARCH("survival",A56)),ISNUMBER(SEARCH("nomad",A56)),ISNUMBER(SEARCH("bayonet",A56)),ISNUMBER(SEARCH("falchion",A56)),ISNUMBER(SEARCH("m9 ",A56)),ISNUMBER(SEARCH("butterfly",A56)),ISNUMBER(SEARCH("skeleton",A56)),ISNUMBER(SEARCH("paracord",A56)),ISNUMBER(SEARCH("classic",A56))), "Knives", OR(ISNUMBER(SEARCH("glove",A56))), "Gloves", OR(ISNUMBER(SEARCH("sticker",A56)),AND(ISNUMBER(SEARCH("fallen",A56)),NOT(ISNUMBER(SEARCH("awp",A56))),NOT(ISNUMBER(SEARCH("ak",A56))))), "Sticker", OR(ISNUMBER(SEARCH("ak ",A56)),ISNUMBER(SEARCH("ak-",A56)),ISNUMBER(SEARCH("m4a1",A56)),ISNUMBER(SEARCH("m4a4",A56)),ISNUMBER(SEARCH("galil",A56)),ISNUMBER(SEARCH("famas",A56))), "Rifles", OR(ISNUMBER(SEARCH("awp",A56)),ISNUMBER(SEARCH("ssg",A56))), "Sniper", OR(ISNUMBER(SEARCH("usp",A56)),ISNUMBER(SEARCH("glock",A56)),ISNUMBER(SEARCH("eagle",A56)),ISNUMBER(SEARCH("p250",A56)),ISNUMBER(SEARCH("berettas",A56))), "Pistol", TRUE, "SMG")</f>
        <v>Pistol</v>
      </c>
      <c r="C56" s="16">
        <v>350</v>
      </c>
      <c r="D56" s="16">
        <v>525</v>
      </c>
      <c r="E56" s="11">
        <f t="shared" si="10"/>
        <v>31.5</v>
      </c>
      <c r="F56" s="13">
        <f t="shared" si="11"/>
        <v>493.5</v>
      </c>
      <c r="G56" s="13">
        <f t="shared" si="12"/>
        <v>143.5</v>
      </c>
      <c r="H56" s="2">
        <f t="shared" si="13"/>
        <v>41</v>
      </c>
    </row>
    <row r="57" spans="1:13" x14ac:dyDescent="0.25">
      <c r="A57" t="s">
        <v>55</v>
      </c>
      <c r="B57" s="17" t="str" cm="1">
        <f t="array" ref="B57">_xlfn.IFS(OR(ISNUMBER(SEARCH("survival",A57)),ISNUMBER(SEARCH("nomad",A57)),ISNUMBER(SEARCH("bayonet",A57)),ISNUMBER(SEARCH("falchion",A57)),ISNUMBER(SEARCH("m9 ",A57)),ISNUMBER(SEARCH("butterfly",A57)),ISNUMBER(SEARCH("skeleton",A57)),ISNUMBER(SEARCH("paracord",A57)),ISNUMBER(SEARCH("classic",A57))), "Knives", OR(ISNUMBER(SEARCH("glove",A57))), "Gloves", OR(ISNUMBER(SEARCH("sticker",A57)),AND(ISNUMBER(SEARCH("fallen",A57)),NOT(ISNUMBER(SEARCH("awp",A57))),NOT(ISNUMBER(SEARCH("ak",A57))))), "Sticker", OR(ISNUMBER(SEARCH("ak ",A57)),ISNUMBER(SEARCH("ak-",A57)),ISNUMBER(SEARCH("m4a1",A57)),ISNUMBER(SEARCH("m4a4",A57)),ISNUMBER(SEARCH("galil",A57)),ISNUMBER(SEARCH("famas",A57))), "Rifles", OR(ISNUMBER(SEARCH("awp",A57)),ISNUMBER(SEARCH("ssg",A57))), "Sniper", OR(ISNUMBER(SEARCH("usp",A57)),ISNUMBER(SEARCH("glock",A57)),ISNUMBER(SEARCH("eagle",A57)),ISNUMBER(SEARCH("p250",A57)),ISNUMBER(SEARCH("berettas",A57))), "Pistol", TRUE, "SMG")</f>
        <v>Sniper</v>
      </c>
      <c r="C57" s="16">
        <v>133</v>
      </c>
      <c r="D57" s="16">
        <v>180</v>
      </c>
      <c r="E57" s="11">
        <f t="shared" si="10"/>
        <v>10.799999999999999</v>
      </c>
      <c r="F57" s="13">
        <f t="shared" si="11"/>
        <v>169.2</v>
      </c>
      <c r="G57" s="13">
        <f t="shared" si="12"/>
        <v>36.199999999999989</v>
      </c>
      <c r="H57" s="2">
        <f t="shared" si="13"/>
        <v>27.218045112781947</v>
      </c>
    </row>
    <row r="58" spans="1:13" x14ac:dyDescent="0.25">
      <c r="A58" t="s">
        <v>57</v>
      </c>
      <c r="B58" s="17" t="str" cm="1">
        <f t="array" ref="B58">_xlfn.IFS(OR(ISNUMBER(SEARCH("survival",A58)),ISNUMBER(SEARCH("nomad",A58)),ISNUMBER(SEARCH("bayonet",A58)),ISNUMBER(SEARCH("falchion",A58)),ISNUMBER(SEARCH("m9 ",A58)),ISNUMBER(SEARCH("butterfly",A58)),ISNUMBER(SEARCH("skeleton",A58)),ISNUMBER(SEARCH("paracord",A58)),ISNUMBER(SEARCH("classic",A58))), "Knives", OR(ISNUMBER(SEARCH("glove",A58))), "Gloves", OR(ISNUMBER(SEARCH("sticker",A58)),AND(ISNUMBER(SEARCH("fallen",A58)),NOT(ISNUMBER(SEARCH("awp",A58))),NOT(ISNUMBER(SEARCH("ak",A58))))), "Sticker", OR(ISNUMBER(SEARCH("ak ",A58)),ISNUMBER(SEARCH("ak-",A58)),ISNUMBER(SEARCH("m4a1",A58)),ISNUMBER(SEARCH("m4a4",A58)),ISNUMBER(SEARCH("galil",A58)),ISNUMBER(SEARCH("famas",A58))), "Rifles", OR(ISNUMBER(SEARCH("awp",A58)),ISNUMBER(SEARCH("ssg",A58))), "Sniper", OR(ISNUMBER(SEARCH("usp",A58)),ISNUMBER(SEARCH("glock",A58)),ISNUMBER(SEARCH("eagle",A58)),ISNUMBER(SEARCH("p250",A58)),ISNUMBER(SEARCH("berettas",A58))), "Pistol", TRUE, "SMG")</f>
        <v>Rifles</v>
      </c>
      <c r="C58" s="16">
        <v>190</v>
      </c>
      <c r="D58" s="16">
        <v>262</v>
      </c>
      <c r="E58" s="11">
        <f t="shared" si="10"/>
        <v>15.719999999999999</v>
      </c>
      <c r="F58" s="13">
        <f t="shared" si="11"/>
        <v>246.28</v>
      </c>
      <c r="G58" s="13">
        <f t="shared" si="12"/>
        <v>56.28</v>
      </c>
      <c r="H58" s="2">
        <f t="shared" si="13"/>
        <v>29.621052631578948</v>
      </c>
    </row>
    <row r="59" spans="1:13" x14ac:dyDescent="0.25">
      <c r="A59" t="s">
        <v>52</v>
      </c>
      <c r="B59" s="17" t="str" cm="1">
        <f t="array" ref="B59">_xlfn.IFS(OR(ISNUMBER(SEARCH("survival",A59)),ISNUMBER(SEARCH("nomad",A59)),ISNUMBER(SEARCH("bayonet",A59)),ISNUMBER(SEARCH("falchion",A59)),ISNUMBER(SEARCH("m9 ",A59)),ISNUMBER(SEARCH("butterfly",A59)),ISNUMBER(SEARCH("skeleton",A59)),ISNUMBER(SEARCH("paracord",A59)),ISNUMBER(SEARCH("classic",A59))), "Knives", OR(ISNUMBER(SEARCH("glove",A59))), "Gloves", OR(ISNUMBER(SEARCH("sticker",A59)),AND(ISNUMBER(SEARCH("fallen",A59)),NOT(ISNUMBER(SEARCH("awp",A59))),NOT(ISNUMBER(SEARCH("ak",A59))))), "Sticker", OR(ISNUMBER(SEARCH("ak ",A59)),ISNUMBER(SEARCH("ak-",A59)),ISNUMBER(SEARCH("m4a1",A59)),ISNUMBER(SEARCH("m4a4",A59)),ISNUMBER(SEARCH("galil",A59)),ISNUMBER(SEARCH("famas",A59))), "Rifles", OR(ISNUMBER(SEARCH("awp",A59)),ISNUMBER(SEARCH("ssg",A59))), "Sniper", OR(ISNUMBER(SEARCH("usp",A59)),ISNUMBER(SEARCH("glock",A59)),ISNUMBER(SEARCH("eagle",A59)),ISNUMBER(SEARCH("p250",A59)),ISNUMBER(SEARCH("berettas",A59))), "Pistol", TRUE, "SMG")</f>
        <v>Knives</v>
      </c>
      <c r="C59" s="16">
        <v>550</v>
      </c>
      <c r="D59" s="16">
        <v>700</v>
      </c>
      <c r="E59" s="11">
        <f t="shared" si="10"/>
        <v>42</v>
      </c>
      <c r="F59" s="13">
        <f t="shared" si="11"/>
        <v>658</v>
      </c>
      <c r="G59" s="13">
        <f t="shared" si="12"/>
        <v>108</v>
      </c>
      <c r="H59" s="2">
        <f t="shared" si="13"/>
        <v>19.636363636363637</v>
      </c>
    </row>
    <row r="60" spans="1:13" x14ac:dyDescent="0.25">
      <c r="A60" t="s">
        <v>58</v>
      </c>
      <c r="B60" s="17" t="str" cm="1">
        <f t="array" ref="B60">_xlfn.IFS(OR(ISNUMBER(SEARCH("survival",A60)),ISNUMBER(SEARCH("nomad",A60)),ISNUMBER(SEARCH("bayonet",A60)),ISNUMBER(SEARCH("falchion",A60)),ISNUMBER(SEARCH("m9 ",A60)),ISNUMBER(SEARCH("butterfly",A60)),ISNUMBER(SEARCH("skeleton",A60)),ISNUMBER(SEARCH("paracord",A60)),ISNUMBER(SEARCH("classic",A60))), "Knives", OR(ISNUMBER(SEARCH("glove",A60))), "Gloves", OR(ISNUMBER(SEARCH("sticker",A60)),AND(ISNUMBER(SEARCH("fallen",A60)),NOT(ISNUMBER(SEARCH("awp",A60))),NOT(ISNUMBER(SEARCH("ak",A60))))), "Sticker", OR(ISNUMBER(SEARCH("ak ",A60)),ISNUMBER(SEARCH("ak-",A60)),ISNUMBER(SEARCH("m4a1",A60)),ISNUMBER(SEARCH("m4a4",A60)),ISNUMBER(SEARCH("galil",A60)),ISNUMBER(SEARCH("famas",A60))), "Rifles", OR(ISNUMBER(SEARCH("awp",A60)),ISNUMBER(SEARCH("ssg",A60))), "Sniper", OR(ISNUMBER(SEARCH("usp",A60)),ISNUMBER(SEARCH("glock",A60)),ISNUMBER(SEARCH("eagle",A60)),ISNUMBER(SEARCH("p250",A60)),ISNUMBER(SEARCH("berettas",A60))), "Pistol", TRUE, "SMG")</f>
        <v>Gloves</v>
      </c>
      <c r="C60" s="16">
        <v>800</v>
      </c>
      <c r="D60" s="16">
        <v>950</v>
      </c>
      <c r="E60" s="11">
        <f t="shared" si="10"/>
        <v>57</v>
      </c>
      <c r="F60" s="13">
        <f t="shared" si="11"/>
        <v>893</v>
      </c>
      <c r="G60" s="13">
        <f t="shared" si="12"/>
        <v>93</v>
      </c>
      <c r="H60" s="2">
        <f t="shared" si="13"/>
        <v>11.625</v>
      </c>
    </row>
    <row r="61" spans="1:13" x14ac:dyDescent="0.25">
      <c r="A61" t="s">
        <v>59</v>
      </c>
      <c r="B61" s="17" t="str" cm="1">
        <f t="array" ref="B61">_xlfn.IFS(OR(ISNUMBER(SEARCH("survival",A61)),ISNUMBER(SEARCH("nomad",A61)),ISNUMBER(SEARCH("bayonet",A61)),ISNUMBER(SEARCH("falchion",A61)),ISNUMBER(SEARCH("m9 ",A61)),ISNUMBER(SEARCH("butterfly",A61)),ISNUMBER(SEARCH("skeleton",A61)),ISNUMBER(SEARCH("paracord",A61)),ISNUMBER(SEARCH("classic",A61))), "Knives", OR(ISNUMBER(SEARCH("glove",A61))), "Gloves", OR(ISNUMBER(SEARCH("sticker",A61)),AND(ISNUMBER(SEARCH("fallen",A61)),NOT(ISNUMBER(SEARCH("awp",A61))),NOT(ISNUMBER(SEARCH("ak",A61))))), "Sticker", OR(ISNUMBER(SEARCH("ak ",A61)),ISNUMBER(SEARCH("ak-",A61)),ISNUMBER(SEARCH("m4a1",A61)),ISNUMBER(SEARCH("m4a4",A61)),ISNUMBER(SEARCH("galil",A61)),ISNUMBER(SEARCH("famas",A61))), "Rifles", OR(ISNUMBER(SEARCH("awp",A61)),ISNUMBER(SEARCH("ssg",A61))), "Sniper", OR(ISNUMBER(SEARCH("usp",A61)),ISNUMBER(SEARCH("glock",A61)),ISNUMBER(SEARCH("eagle",A61)),ISNUMBER(SEARCH("p250",A61)),ISNUMBER(SEARCH("berettas",A61))), "Pistol", TRUE, "SMG")</f>
        <v>Knives</v>
      </c>
      <c r="C61" s="16">
        <v>1800</v>
      </c>
      <c r="D61" s="16">
        <v>2030</v>
      </c>
      <c r="E61" s="11">
        <f t="shared" si="10"/>
        <v>121.8</v>
      </c>
      <c r="F61" s="13">
        <f t="shared" si="11"/>
        <v>1908.2</v>
      </c>
      <c r="G61" s="13">
        <f t="shared" si="12"/>
        <v>108.20000000000005</v>
      </c>
      <c r="H61" s="2">
        <f t="shared" si="13"/>
        <v>6.0111111111111137</v>
      </c>
    </row>
    <row r="62" spans="1:13" x14ac:dyDescent="0.25">
      <c r="A62" t="s">
        <v>52</v>
      </c>
      <c r="B62" s="17" t="str" cm="1">
        <f t="array" ref="B62">_xlfn.IFS(OR(ISNUMBER(SEARCH("survival",A62)),ISNUMBER(SEARCH("nomad",A62)),ISNUMBER(SEARCH("bayonet",A62)),ISNUMBER(SEARCH("falchion",A62)),ISNUMBER(SEARCH("m9 ",A62)),ISNUMBER(SEARCH("butterfly",A62)),ISNUMBER(SEARCH("skeleton",A62)),ISNUMBER(SEARCH("paracord",A62)),ISNUMBER(SEARCH("classic",A62))), "Knives", OR(ISNUMBER(SEARCH("glove",A62))), "Gloves", OR(ISNUMBER(SEARCH("sticker",A62)),AND(ISNUMBER(SEARCH("fallen",A62)),NOT(ISNUMBER(SEARCH("awp",A62))),NOT(ISNUMBER(SEARCH("ak",A62))))), "Sticker", OR(ISNUMBER(SEARCH("ak ",A62)),ISNUMBER(SEARCH("ak-",A62)),ISNUMBER(SEARCH("m4a1",A62)),ISNUMBER(SEARCH("m4a4",A62)),ISNUMBER(SEARCH("galil",A62)),ISNUMBER(SEARCH("famas",A62))), "Rifles", OR(ISNUMBER(SEARCH("awp",A62)),ISNUMBER(SEARCH("ssg",A62))), "Sniper", OR(ISNUMBER(SEARCH("usp",A62)),ISNUMBER(SEARCH("glock",A62)),ISNUMBER(SEARCH("eagle",A62)),ISNUMBER(SEARCH("p250",A62)),ISNUMBER(SEARCH("berettas",A62))), "Pistol", TRUE, "SMG")</f>
        <v>Knives</v>
      </c>
      <c r="C62" s="16">
        <v>650</v>
      </c>
      <c r="D62" s="16">
        <v>720</v>
      </c>
      <c r="E62" s="11">
        <f t="shared" si="10"/>
        <v>43.199999999999996</v>
      </c>
      <c r="F62" s="13">
        <f t="shared" si="11"/>
        <v>676.8</v>
      </c>
      <c r="G62" s="13">
        <f t="shared" si="12"/>
        <v>26.799999999999955</v>
      </c>
      <c r="H62" s="2">
        <f t="shared" si="13"/>
        <v>4.1230769230769164</v>
      </c>
    </row>
    <row r="63" spans="1:13" x14ac:dyDescent="0.25">
      <c r="A63" t="s">
        <v>60</v>
      </c>
      <c r="B63" s="17" t="str" cm="1">
        <f t="array" ref="B63">_xlfn.IFS(OR(ISNUMBER(SEARCH("survival",A63)),ISNUMBER(SEARCH("nomad",A63)),ISNUMBER(SEARCH("bayonet",A63)),ISNUMBER(SEARCH("falchion",A63)),ISNUMBER(SEARCH("m9 ",A63)),ISNUMBER(SEARCH("butterfly",A63)),ISNUMBER(SEARCH("skeleton",A63)),ISNUMBER(SEARCH("paracord",A63)),ISNUMBER(SEARCH("classic",A63))), "Knives", OR(ISNUMBER(SEARCH("glove",A63))), "Gloves", OR(ISNUMBER(SEARCH("sticker",A63)),AND(ISNUMBER(SEARCH("fallen",A63)),NOT(ISNUMBER(SEARCH("awp",A63))),NOT(ISNUMBER(SEARCH("ak",A63))))), "Sticker", OR(ISNUMBER(SEARCH("ak ",A63)),ISNUMBER(SEARCH("ak-",A63)),ISNUMBER(SEARCH("m4a1",A63)),ISNUMBER(SEARCH("m4a4",A63)),ISNUMBER(SEARCH("galil",A63)),ISNUMBER(SEARCH("famas",A63))), "Rifles", OR(ISNUMBER(SEARCH("awp",A63)),ISNUMBER(SEARCH("ssg",A63))), "Sniper", OR(ISNUMBER(SEARCH("usp",A63)),ISNUMBER(SEARCH("glock",A63)),ISNUMBER(SEARCH("eagle",A63)),ISNUMBER(SEARCH("p250",A63)),ISNUMBER(SEARCH("berettas",A63))), "Pistol", TRUE, "SMG")</f>
        <v>Pistol</v>
      </c>
      <c r="C63" s="16">
        <v>400</v>
      </c>
      <c r="D63" s="16">
        <v>1250</v>
      </c>
      <c r="E63" s="11">
        <f t="shared" si="10"/>
        <v>75</v>
      </c>
      <c r="F63" s="13">
        <f t="shared" si="11"/>
        <v>1175</v>
      </c>
      <c r="G63" s="13">
        <f t="shared" si="12"/>
        <v>775</v>
      </c>
      <c r="H63" s="2">
        <f t="shared" si="13"/>
        <v>193.75</v>
      </c>
    </row>
    <row r="64" spans="1:13" x14ac:dyDescent="0.25">
      <c r="A64" t="s">
        <v>25</v>
      </c>
      <c r="B64" s="17" t="str" cm="1">
        <f t="array" ref="B64">_xlfn.IFS(OR(ISNUMBER(SEARCH("survival",A64)),ISNUMBER(SEARCH("nomad",A64)),ISNUMBER(SEARCH("bayonet",A64)),ISNUMBER(SEARCH("falchion",A64)),ISNUMBER(SEARCH("m9 ",A64)),ISNUMBER(SEARCH("butterfly",A64)),ISNUMBER(SEARCH("skeleton",A64)),ISNUMBER(SEARCH("paracord",A64)),ISNUMBER(SEARCH("classic",A64))), "Knives", OR(ISNUMBER(SEARCH("glove",A64))), "Gloves", OR(ISNUMBER(SEARCH("sticker",A64)),AND(ISNUMBER(SEARCH("fallen",A64)),NOT(ISNUMBER(SEARCH("awp",A64))),NOT(ISNUMBER(SEARCH("ak",A64))))), "Sticker", OR(ISNUMBER(SEARCH("ak ",A64)),ISNUMBER(SEARCH("ak-",A64)),ISNUMBER(SEARCH("m4a1",A64)),ISNUMBER(SEARCH("m4a4",A64)),ISNUMBER(SEARCH("galil",A64)),ISNUMBER(SEARCH("famas",A64))), "Rifles", OR(ISNUMBER(SEARCH("awp",A64)),ISNUMBER(SEARCH("ssg",A64))), "Sniper", OR(ISNUMBER(SEARCH("usp",A64)),ISNUMBER(SEARCH("glock",A64)),ISNUMBER(SEARCH("eagle",A64)),ISNUMBER(SEARCH("p250",A64)),ISNUMBER(SEARCH("berettas",A64))), "Pistol", TRUE, "SMG")</f>
        <v>Rifles</v>
      </c>
      <c r="C64" s="16">
        <v>315</v>
      </c>
      <c r="D64" s="16">
        <v>400</v>
      </c>
      <c r="E64" s="11">
        <f t="shared" si="10"/>
        <v>24</v>
      </c>
      <c r="F64" s="13">
        <f t="shared" si="11"/>
        <v>376</v>
      </c>
      <c r="G64" s="13">
        <f t="shared" si="12"/>
        <v>61</v>
      </c>
      <c r="H64" s="2">
        <f t="shared" si="13"/>
        <v>19.365079365079367</v>
      </c>
    </row>
    <row r="65" spans="1:13" x14ac:dyDescent="0.25">
      <c r="A65" t="s">
        <v>61</v>
      </c>
      <c r="B65" s="17" t="str" cm="1">
        <f t="array" ref="B65">_xlfn.IFS(OR(ISNUMBER(SEARCH("survival",A65)),ISNUMBER(SEARCH("nomad",A65)),ISNUMBER(SEARCH("bayonet",A65)),ISNUMBER(SEARCH("falchion",A65)),ISNUMBER(SEARCH("m9 ",A65)),ISNUMBER(SEARCH("butterfly",A65)),ISNUMBER(SEARCH("skeleton",A65)),ISNUMBER(SEARCH("paracord",A65)),ISNUMBER(SEARCH("classic",A65))), "Knives", OR(ISNUMBER(SEARCH("glove",A65))), "Gloves", OR(ISNUMBER(SEARCH("sticker",A65)),AND(ISNUMBER(SEARCH("fallen",A65)),NOT(ISNUMBER(SEARCH("awp",A65))),NOT(ISNUMBER(SEARCH("ak",A65))))), "Sticker", OR(ISNUMBER(SEARCH("ak ",A65)),ISNUMBER(SEARCH("ak-",A65)),ISNUMBER(SEARCH("m4a1",A65)),ISNUMBER(SEARCH("m4a4",A65)),ISNUMBER(SEARCH("galil",A65)),ISNUMBER(SEARCH("famas",A65))), "Rifles", OR(ISNUMBER(SEARCH("awp",A65)),ISNUMBER(SEARCH("ssg",A65))), "Sniper", OR(ISNUMBER(SEARCH("usp",A65)),ISNUMBER(SEARCH("glock",A65)),ISNUMBER(SEARCH("eagle",A65)),ISNUMBER(SEARCH("p250",A65)),ISNUMBER(SEARCH("berettas",A65))), "Pistol", TRUE, "SMG")</f>
        <v>Knives</v>
      </c>
      <c r="C65" s="16">
        <v>800</v>
      </c>
      <c r="D65" s="16">
        <v>910</v>
      </c>
      <c r="E65" s="11">
        <f t="shared" si="10"/>
        <v>54.6</v>
      </c>
      <c r="F65" s="13">
        <f t="shared" si="11"/>
        <v>855.4</v>
      </c>
      <c r="G65" s="13">
        <f t="shared" si="12"/>
        <v>55.399999999999977</v>
      </c>
      <c r="H65" s="2">
        <f t="shared" si="13"/>
        <v>6.924999999999998</v>
      </c>
    </row>
    <row r="66" spans="1:13" x14ac:dyDescent="0.25">
      <c r="A66" t="s">
        <v>62</v>
      </c>
      <c r="B66" s="17" t="str" cm="1">
        <f t="array" ref="B66">_xlfn.IFS(OR(ISNUMBER(SEARCH("survival",A66)),ISNUMBER(SEARCH("nomad",A66)),ISNUMBER(SEARCH("bayonet",A66)),ISNUMBER(SEARCH("falchion",A66)),ISNUMBER(SEARCH("m9 ",A66)),ISNUMBER(SEARCH("butterfly",A66)),ISNUMBER(SEARCH("skeleton",A66)),ISNUMBER(SEARCH("paracord",A66)),ISNUMBER(SEARCH("classic",A66))), "Knives", OR(ISNUMBER(SEARCH("glove",A66))), "Gloves", OR(ISNUMBER(SEARCH("sticker",A66)),AND(ISNUMBER(SEARCH("fallen",A66)),NOT(ISNUMBER(SEARCH("awp",A66))),NOT(ISNUMBER(SEARCH("ak",A66))))), "Sticker", OR(ISNUMBER(SEARCH("ak ",A66)),ISNUMBER(SEARCH("ak-",A66)),ISNUMBER(SEARCH("m4a1",A66)),ISNUMBER(SEARCH("m4a4",A66)),ISNUMBER(SEARCH("galil",A66)),ISNUMBER(SEARCH("famas",A66))), "Rifles", OR(ISNUMBER(SEARCH("awp",A66)),ISNUMBER(SEARCH("ssg",A66))), "Sniper", OR(ISNUMBER(SEARCH("usp",A66)),ISNUMBER(SEARCH("glock",A66)),ISNUMBER(SEARCH("eagle",A66)),ISNUMBER(SEARCH("p250",A66)),ISNUMBER(SEARCH("berettas",A66))), "Pistol", TRUE, "SMG")</f>
        <v>Pistol</v>
      </c>
      <c r="C66" s="16">
        <v>120</v>
      </c>
      <c r="D66" s="16">
        <v>370</v>
      </c>
      <c r="E66" s="11">
        <f t="shared" si="10"/>
        <v>22.2</v>
      </c>
      <c r="F66" s="13">
        <f t="shared" si="11"/>
        <v>347.8</v>
      </c>
      <c r="G66" s="13">
        <f t="shared" si="12"/>
        <v>227.8</v>
      </c>
      <c r="H66" s="2">
        <f t="shared" si="13"/>
        <v>189.83333333333334</v>
      </c>
    </row>
    <row r="67" spans="1:13" x14ac:dyDescent="0.25">
      <c r="A67" t="s">
        <v>50</v>
      </c>
      <c r="B67" s="17" t="str" cm="1">
        <f t="array" ref="B67">_xlfn.IFS(OR(ISNUMBER(SEARCH("survival",A67)),ISNUMBER(SEARCH("nomad",A67)),ISNUMBER(SEARCH("bayonet",A67)),ISNUMBER(SEARCH("falchion",A67)),ISNUMBER(SEARCH("m9 ",A67)),ISNUMBER(SEARCH("butterfly",A67)),ISNUMBER(SEARCH("skeleton",A67)),ISNUMBER(SEARCH("paracord",A67)),ISNUMBER(SEARCH("classic",A67))), "Knives", OR(ISNUMBER(SEARCH("glove",A67))), "Gloves", OR(ISNUMBER(SEARCH("sticker",A67)),AND(ISNUMBER(SEARCH("fallen",A67)),NOT(ISNUMBER(SEARCH("awp",A67))),NOT(ISNUMBER(SEARCH("ak",A67))))), "Sticker", OR(ISNUMBER(SEARCH("ak ",A67)),ISNUMBER(SEARCH("ak-",A67)),ISNUMBER(SEARCH("m4a1",A67)),ISNUMBER(SEARCH("m4a4",A67)),ISNUMBER(SEARCH("galil",A67)),ISNUMBER(SEARCH("famas",A67))), "Rifles", OR(ISNUMBER(SEARCH("awp",A67)),ISNUMBER(SEARCH("ssg",A67))), "Sniper", OR(ISNUMBER(SEARCH("usp",A67)),ISNUMBER(SEARCH("glock",A67)),ISNUMBER(SEARCH("eagle",A67)),ISNUMBER(SEARCH("p250",A67)),ISNUMBER(SEARCH("berettas",A67))), "Pistol", TRUE, "SMG")</f>
        <v>Knives</v>
      </c>
      <c r="C67" s="16">
        <v>2550</v>
      </c>
      <c r="D67" s="16">
        <v>2750</v>
      </c>
      <c r="E67" s="11">
        <f t="shared" si="10"/>
        <v>165</v>
      </c>
      <c r="F67" s="13">
        <f t="shared" si="11"/>
        <v>2585</v>
      </c>
      <c r="G67" s="13">
        <f t="shared" si="12"/>
        <v>35</v>
      </c>
      <c r="H67" s="2">
        <f t="shared" si="13"/>
        <v>1.3725490196078431</v>
      </c>
    </row>
    <row r="68" spans="1:13" x14ac:dyDescent="0.25">
      <c r="A68" t="s">
        <v>63</v>
      </c>
      <c r="B68" s="17" t="str" cm="1">
        <f t="array" ref="B68">_xlfn.IFS(OR(ISNUMBER(SEARCH("survival",A68)),ISNUMBER(SEARCH("nomad",A68)),ISNUMBER(SEARCH("bayonet",A68)),ISNUMBER(SEARCH("falchion",A68)),ISNUMBER(SEARCH("m9 ",A68)),ISNUMBER(SEARCH("butterfly",A68)),ISNUMBER(SEARCH("skeleton",A68)),ISNUMBER(SEARCH("paracord",A68)),ISNUMBER(SEARCH("classic",A68))), "Knives", OR(ISNUMBER(SEARCH("glove",A68))), "Gloves", OR(ISNUMBER(SEARCH("sticker",A68)),AND(ISNUMBER(SEARCH("fallen",A68)),NOT(ISNUMBER(SEARCH("awp",A68))),NOT(ISNUMBER(SEARCH("ak",A68))))), "Sticker", OR(ISNUMBER(SEARCH("ak ",A68)),ISNUMBER(SEARCH("ak-",A68)),ISNUMBER(SEARCH("m4a1",A68)),ISNUMBER(SEARCH("m4a4",A68)),ISNUMBER(SEARCH("galil",A68)),ISNUMBER(SEARCH("famas",A68))), "Rifles", OR(ISNUMBER(SEARCH("awp",A68)),ISNUMBER(SEARCH("ssg",A68))), "Sniper", OR(ISNUMBER(SEARCH("usp",A68)),ISNUMBER(SEARCH("glock",A68)),ISNUMBER(SEARCH("eagle",A68)),ISNUMBER(SEARCH("p250",A68)),ISNUMBER(SEARCH("berettas",A68))), "Pistol", TRUE, "SMG")</f>
        <v>SMG</v>
      </c>
      <c r="C68" s="16">
        <v>100</v>
      </c>
      <c r="D68" s="16">
        <v>200</v>
      </c>
      <c r="E68" s="11">
        <f t="shared" si="10"/>
        <v>12</v>
      </c>
      <c r="F68" s="13">
        <f t="shared" si="11"/>
        <v>188</v>
      </c>
      <c r="G68" s="13">
        <f t="shared" si="12"/>
        <v>88</v>
      </c>
      <c r="H68" s="2">
        <f t="shared" si="13"/>
        <v>88</v>
      </c>
    </row>
    <row r="69" spans="1:13" x14ac:dyDescent="0.25">
      <c r="A69" t="s">
        <v>62</v>
      </c>
      <c r="B69" s="17" t="str" cm="1">
        <f t="array" ref="B69">_xlfn.IFS(OR(ISNUMBER(SEARCH("survival",A69)),ISNUMBER(SEARCH("nomad",A69)),ISNUMBER(SEARCH("bayonet",A69)),ISNUMBER(SEARCH("falchion",A69)),ISNUMBER(SEARCH("m9 ",A69)),ISNUMBER(SEARCH("butterfly",A69)),ISNUMBER(SEARCH("skeleton",A69)),ISNUMBER(SEARCH("paracord",A69)),ISNUMBER(SEARCH("classic",A69))), "Knives", OR(ISNUMBER(SEARCH("glove",A69))), "Gloves", OR(ISNUMBER(SEARCH("sticker",A69)),AND(ISNUMBER(SEARCH("fallen",A69)),NOT(ISNUMBER(SEARCH("awp",A69))),NOT(ISNUMBER(SEARCH("ak",A69))))), "Sticker", OR(ISNUMBER(SEARCH("ak ",A69)),ISNUMBER(SEARCH("ak-",A69)),ISNUMBER(SEARCH("m4a1",A69)),ISNUMBER(SEARCH("m4a4",A69)),ISNUMBER(SEARCH("galil",A69)),ISNUMBER(SEARCH("famas",A69))), "Rifles", OR(ISNUMBER(SEARCH("awp",A69)),ISNUMBER(SEARCH("ssg",A69))), "Sniper", OR(ISNUMBER(SEARCH("usp",A69)),ISNUMBER(SEARCH("glock",A69)),ISNUMBER(SEARCH("eagle",A69)),ISNUMBER(SEARCH("p250",A69)),ISNUMBER(SEARCH("berettas",A69))), "Pistol", TRUE, "SMG")</f>
        <v>Pistol</v>
      </c>
      <c r="C69" s="16">
        <v>400</v>
      </c>
      <c r="D69" s="16">
        <v>630</v>
      </c>
      <c r="E69" s="11">
        <f t="shared" si="10"/>
        <v>37.799999999999997</v>
      </c>
      <c r="F69" s="13">
        <f t="shared" si="11"/>
        <v>592.20000000000005</v>
      </c>
      <c r="G69" s="13">
        <f t="shared" si="12"/>
        <v>192.20000000000005</v>
      </c>
      <c r="H69" s="2">
        <f t="shared" si="13"/>
        <v>48.050000000000011</v>
      </c>
    </row>
    <row r="70" spans="1:13" x14ac:dyDescent="0.25">
      <c r="A70" t="s">
        <v>64</v>
      </c>
      <c r="B70" s="17" t="str" cm="1">
        <f t="array" ref="B70">_xlfn.IFS(OR(ISNUMBER(SEARCH("survival",A70)),ISNUMBER(SEARCH("nomad",A70)),ISNUMBER(SEARCH("bayonet",A70)),ISNUMBER(SEARCH("falchion",A70)),ISNUMBER(SEARCH("m9 ",A70)),ISNUMBER(SEARCH("butterfly",A70)),ISNUMBER(SEARCH("skeleton",A70)),ISNUMBER(SEARCH("paracord",A70)),ISNUMBER(SEARCH("classic",A70))), "Knives", OR(ISNUMBER(SEARCH("glove",A70))), "Gloves", OR(ISNUMBER(SEARCH("sticker",A70)),AND(ISNUMBER(SEARCH("fallen",A70)),NOT(ISNUMBER(SEARCH("awp",A70))),NOT(ISNUMBER(SEARCH("ak",A70))))), "Sticker", OR(ISNUMBER(SEARCH("ak ",A70)),ISNUMBER(SEARCH("ak-",A70)),ISNUMBER(SEARCH("m4a1",A70)),ISNUMBER(SEARCH("m4a4",A70)),ISNUMBER(SEARCH("galil",A70)),ISNUMBER(SEARCH("famas",A70))), "Rifles", OR(ISNUMBER(SEARCH("awp",A70)),ISNUMBER(SEARCH("ssg",A70))), "Sniper", OR(ISNUMBER(SEARCH("usp",A70)),ISNUMBER(SEARCH("glock",A70)),ISNUMBER(SEARCH("eagle",A70)),ISNUMBER(SEARCH("p250",A70)),ISNUMBER(SEARCH("berettas",A70))), "Pistol", TRUE, "SMG")</f>
        <v>Rifles</v>
      </c>
      <c r="C70" s="16">
        <v>210</v>
      </c>
      <c r="D70" s="16">
        <v>250</v>
      </c>
      <c r="E70" s="11">
        <f t="shared" si="10"/>
        <v>15</v>
      </c>
      <c r="F70" s="13">
        <f t="shared" si="11"/>
        <v>235</v>
      </c>
      <c r="G70" s="13">
        <f t="shared" si="12"/>
        <v>25</v>
      </c>
      <c r="H70" s="2">
        <f t="shared" si="13"/>
        <v>11.904761904761903</v>
      </c>
    </row>
    <row r="71" spans="1:13" x14ac:dyDescent="0.25">
      <c r="A71" t="s">
        <v>65</v>
      </c>
      <c r="B71" s="17" t="str" cm="1">
        <f t="array" ref="B71">_xlfn.IFS(OR(ISNUMBER(SEARCH("survival",A71)),ISNUMBER(SEARCH("nomad",A71)),ISNUMBER(SEARCH("bayonet",A71)),ISNUMBER(SEARCH("falchion",A71)),ISNUMBER(SEARCH("m9 ",A71)),ISNUMBER(SEARCH("butterfly",A71)),ISNUMBER(SEARCH("skeleton",A71)),ISNUMBER(SEARCH("paracord",A71)),ISNUMBER(SEARCH("classic",A71))), "Knives", OR(ISNUMBER(SEARCH("glove",A71))), "Gloves", OR(ISNUMBER(SEARCH("sticker",A71)),AND(ISNUMBER(SEARCH("fallen",A71)),NOT(ISNUMBER(SEARCH("awp",A71))),NOT(ISNUMBER(SEARCH("ak",A71))))), "Sticker", OR(ISNUMBER(SEARCH("ak ",A71)),ISNUMBER(SEARCH("ak-",A71)),ISNUMBER(SEARCH("m4a1",A71)),ISNUMBER(SEARCH("m4a4",A71)),ISNUMBER(SEARCH("galil",A71)),ISNUMBER(SEARCH("famas",A71))), "Rifles", OR(ISNUMBER(SEARCH("awp",A71)),ISNUMBER(SEARCH("ssg",A71))), "Sniper", OR(ISNUMBER(SEARCH("usp",A71)),ISNUMBER(SEARCH("glock",A71)),ISNUMBER(SEARCH("eagle",A71)),ISNUMBER(SEARCH("p250",A71)),ISNUMBER(SEARCH("berettas",A71))), "Pistol", TRUE, "SMG")</f>
        <v>Gloves</v>
      </c>
      <c r="C71" s="16">
        <v>670</v>
      </c>
      <c r="D71" s="16">
        <v>723</v>
      </c>
      <c r="E71" s="11">
        <f t="shared" si="10"/>
        <v>43.379999999999995</v>
      </c>
      <c r="F71" s="13">
        <f t="shared" si="11"/>
        <v>679.62</v>
      </c>
      <c r="G71" s="13">
        <f t="shared" si="12"/>
        <v>9.6200000000000045</v>
      </c>
      <c r="H71" s="2">
        <f t="shared" si="13"/>
        <v>1.4358208955223888</v>
      </c>
      <c r="L71" s="6"/>
      <c r="M71" s="6"/>
    </row>
    <row r="72" spans="1:13" x14ac:dyDescent="0.25">
      <c r="A72" t="s">
        <v>66</v>
      </c>
      <c r="B72" s="17" t="str" cm="1">
        <f t="array" ref="B72">_xlfn.IFS(OR(ISNUMBER(SEARCH("survival",A72)),ISNUMBER(SEARCH("nomad",A72)),ISNUMBER(SEARCH("bayonet",A72)),ISNUMBER(SEARCH("falchion",A72)),ISNUMBER(SEARCH("m9 ",A72)),ISNUMBER(SEARCH("butterfly",A72)),ISNUMBER(SEARCH("skeleton",A72)),ISNUMBER(SEARCH("paracord",A72)),ISNUMBER(SEARCH("classic",A72))), "Knives", OR(ISNUMBER(SEARCH("glove",A72))), "Gloves", OR(ISNUMBER(SEARCH("sticker",A72)),AND(ISNUMBER(SEARCH("fallen",A72)),NOT(ISNUMBER(SEARCH("awp",A72))),NOT(ISNUMBER(SEARCH("ak",A72))))), "Sticker", OR(ISNUMBER(SEARCH("ak ",A72)),ISNUMBER(SEARCH("ak-",A72)),ISNUMBER(SEARCH("m4a1",A72)),ISNUMBER(SEARCH("m4a4",A72)),ISNUMBER(SEARCH("galil",A72)),ISNUMBER(SEARCH("famas",A72))), "Rifles", OR(ISNUMBER(SEARCH("awp",A72)),ISNUMBER(SEARCH("ssg",A72))), "Sniper", OR(ISNUMBER(SEARCH("usp",A72)),ISNUMBER(SEARCH("glock",A72)),ISNUMBER(SEARCH("eagle",A72)),ISNUMBER(SEARCH("p250",A72)),ISNUMBER(SEARCH("berettas",A72))), "Pistol", TRUE, "SMG")</f>
        <v>Pistol</v>
      </c>
      <c r="C72" s="16">
        <v>820</v>
      </c>
      <c r="D72" s="16">
        <v>1250</v>
      </c>
      <c r="E72" s="11">
        <f t="shared" si="10"/>
        <v>75</v>
      </c>
      <c r="F72" s="13">
        <f t="shared" si="11"/>
        <v>1175</v>
      </c>
      <c r="G72" s="13">
        <f t="shared" si="12"/>
        <v>355</v>
      </c>
      <c r="H72" s="2">
        <f t="shared" si="13"/>
        <v>43.292682926829265</v>
      </c>
    </row>
    <row r="73" spans="1:13" x14ac:dyDescent="0.25">
      <c r="A73" t="s">
        <v>67</v>
      </c>
      <c r="B73" s="17" t="str" cm="1">
        <f t="array" ref="B73">_xlfn.IFS(OR(ISNUMBER(SEARCH("survival",A73)),ISNUMBER(SEARCH("nomad",A73)),ISNUMBER(SEARCH("bayonet",A73)),ISNUMBER(SEARCH("falchion",A73)),ISNUMBER(SEARCH("m9 ",A73)),ISNUMBER(SEARCH("butterfly",A73)),ISNUMBER(SEARCH("skeleton",A73)),ISNUMBER(SEARCH("paracord",A73)),ISNUMBER(SEARCH("classic",A73))), "Knives", OR(ISNUMBER(SEARCH("glove",A73))), "Gloves", OR(ISNUMBER(SEARCH("sticker",A73)),AND(ISNUMBER(SEARCH("fallen",A73)),NOT(ISNUMBER(SEARCH("awp",A73))),NOT(ISNUMBER(SEARCH("ak",A73))))), "Sticker", OR(ISNUMBER(SEARCH("ak ",A73)),ISNUMBER(SEARCH("ak-",A73)),ISNUMBER(SEARCH("m4a1",A73)),ISNUMBER(SEARCH("m4a4",A73)),ISNUMBER(SEARCH("galil",A73)),ISNUMBER(SEARCH("famas",A73))), "Rifles", OR(ISNUMBER(SEARCH("awp",A73)),ISNUMBER(SEARCH("ssg",A73))), "Sniper", OR(ISNUMBER(SEARCH("usp",A73)),ISNUMBER(SEARCH("glock",A73)),ISNUMBER(SEARCH("eagle",A73)),ISNUMBER(SEARCH("p250",A73)),ISNUMBER(SEARCH("berettas",A73))), "Pistol", TRUE, "SMG")</f>
        <v>Pistol</v>
      </c>
      <c r="C73" s="16">
        <v>330</v>
      </c>
      <c r="D73" s="16">
        <v>390</v>
      </c>
      <c r="E73" s="11">
        <f t="shared" si="10"/>
        <v>23.4</v>
      </c>
      <c r="F73" s="13">
        <f t="shared" si="11"/>
        <v>366.6</v>
      </c>
      <c r="G73" s="13">
        <f t="shared" si="12"/>
        <v>36.600000000000023</v>
      </c>
      <c r="H73" s="2">
        <f t="shared" si="13"/>
        <v>11.090909090909099</v>
      </c>
    </row>
    <row r="74" spans="1:13" x14ac:dyDescent="0.25">
      <c r="A74" t="s">
        <v>68</v>
      </c>
      <c r="B74" s="17" t="str" cm="1">
        <f t="array" ref="B74">_xlfn.IFS(OR(ISNUMBER(SEARCH("survival",A74)),ISNUMBER(SEARCH("nomad",A74)),ISNUMBER(SEARCH("bayonet",A74)),ISNUMBER(SEARCH("falchion",A74)),ISNUMBER(SEARCH("m9 ",A74)),ISNUMBER(SEARCH("butterfly",A74)),ISNUMBER(SEARCH("skeleton",A74)),ISNUMBER(SEARCH("paracord",A74)),ISNUMBER(SEARCH("classic",A74))), "Knives", OR(ISNUMBER(SEARCH("glove",A74))), "Gloves", OR(ISNUMBER(SEARCH("sticker",A74)),AND(ISNUMBER(SEARCH("fallen",A74)),NOT(ISNUMBER(SEARCH("awp",A74))),NOT(ISNUMBER(SEARCH("ak",A74))))), "Sticker", OR(ISNUMBER(SEARCH("ak ",A74)),ISNUMBER(SEARCH("ak-",A74)),ISNUMBER(SEARCH("m4a1",A74)),ISNUMBER(SEARCH("m4a4",A74)),ISNUMBER(SEARCH("galil",A74)),ISNUMBER(SEARCH("famas",A74))), "Rifles", OR(ISNUMBER(SEARCH("awp",A74)),ISNUMBER(SEARCH("ssg",A74))), "Sniper", OR(ISNUMBER(SEARCH("usp",A74)),ISNUMBER(SEARCH("glock",A74)),ISNUMBER(SEARCH("eagle",A74)),ISNUMBER(SEARCH("p250",A74)),ISNUMBER(SEARCH("berettas",A74))), "Pistol", TRUE, "SMG")</f>
        <v>Knives</v>
      </c>
      <c r="C74" s="16">
        <v>3300</v>
      </c>
      <c r="D74" s="16">
        <v>3625</v>
      </c>
      <c r="E74" s="11">
        <f t="shared" si="10"/>
        <v>217.5</v>
      </c>
      <c r="F74" s="13">
        <f t="shared" si="11"/>
        <v>3407.5</v>
      </c>
      <c r="G74" s="13">
        <f t="shared" si="12"/>
        <v>107.5</v>
      </c>
      <c r="H74" s="2">
        <f t="shared" si="13"/>
        <v>3.2575757575757578</v>
      </c>
    </row>
    <row r="75" spans="1:13" x14ac:dyDescent="0.25">
      <c r="A75" t="s">
        <v>31</v>
      </c>
      <c r="B75" s="17" t="str" cm="1">
        <f t="array" ref="B75">_xlfn.IFS(OR(ISNUMBER(SEARCH("survival",A75)),ISNUMBER(SEARCH("nomad",A75)),ISNUMBER(SEARCH("bayonet",A75)),ISNUMBER(SEARCH("falchion",A75)),ISNUMBER(SEARCH("m9 ",A75)),ISNUMBER(SEARCH("butterfly",A75)),ISNUMBER(SEARCH("skeleton",A75)),ISNUMBER(SEARCH("paracord",A75)),ISNUMBER(SEARCH("classic",A75))), "Knives", OR(ISNUMBER(SEARCH("glove",A75))), "Gloves", OR(ISNUMBER(SEARCH("sticker",A75)),AND(ISNUMBER(SEARCH("fallen",A75)),NOT(ISNUMBER(SEARCH("awp",A75))),NOT(ISNUMBER(SEARCH("ak",A75))))), "Sticker", OR(ISNUMBER(SEARCH("ak ",A75)),ISNUMBER(SEARCH("ak-",A75)),ISNUMBER(SEARCH("m4a1",A75)),ISNUMBER(SEARCH("m4a4",A75)),ISNUMBER(SEARCH("galil",A75)),ISNUMBER(SEARCH("famas",A75))), "Rifles", OR(ISNUMBER(SEARCH("awp",A75)),ISNUMBER(SEARCH("ssg",A75))), "Sniper", OR(ISNUMBER(SEARCH("usp",A75)),ISNUMBER(SEARCH("glock",A75)),ISNUMBER(SEARCH("eagle",A75)),ISNUMBER(SEARCH("p250",A75)),ISNUMBER(SEARCH("berettas",A75))), "Pistol", TRUE, "SMG")</f>
        <v>Sniper</v>
      </c>
      <c r="C75" s="16">
        <v>830</v>
      </c>
      <c r="D75" s="16">
        <v>1200</v>
      </c>
      <c r="E75" s="11">
        <f t="shared" si="10"/>
        <v>72</v>
      </c>
      <c r="F75" s="13">
        <f t="shared" si="11"/>
        <v>1128</v>
      </c>
      <c r="G75" s="13">
        <f t="shared" si="12"/>
        <v>298</v>
      </c>
      <c r="H75" s="2">
        <f t="shared" si="13"/>
        <v>35.903614457831324</v>
      </c>
    </row>
    <row r="76" spans="1:13" x14ac:dyDescent="0.25">
      <c r="A76" t="s">
        <v>69</v>
      </c>
      <c r="B76" s="17" t="str" cm="1">
        <f t="array" ref="B76">_xlfn.IFS(OR(ISNUMBER(SEARCH("survival",A76)),ISNUMBER(SEARCH("nomad",A76)),ISNUMBER(SEARCH("bayonet",A76)),ISNUMBER(SEARCH("falchion",A76)),ISNUMBER(SEARCH("m9 ",A76)),ISNUMBER(SEARCH("butterfly",A76)),ISNUMBER(SEARCH("skeleton",A76)),ISNUMBER(SEARCH("paracord",A76)),ISNUMBER(SEARCH("classic",A76))), "Knives", OR(ISNUMBER(SEARCH("glove",A76))), "Gloves", OR(ISNUMBER(SEARCH("sticker",A76)),AND(ISNUMBER(SEARCH("fallen",A76)),NOT(ISNUMBER(SEARCH("awp",A76))),NOT(ISNUMBER(SEARCH("ak",A76))))), "Sticker", OR(ISNUMBER(SEARCH("ak ",A76)),ISNUMBER(SEARCH("ak-",A76)),ISNUMBER(SEARCH("m4a1",A76)),ISNUMBER(SEARCH("m4a4",A76)),ISNUMBER(SEARCH("galil",A76)),ISNUMBER(SEARCH("famas",A76))), "Rifles", OR(ISNUMBER(SEARCH("awp",A76)),ISNUMBER(SEARCH("ssg",A76))), "Sniper", OR(ISNUMBER(SEARCH("usp",A76)),ISNUMBER(SEARCH("glock",A76)),ISNUMBER(SEARCH("eagle",A76)),ISNUMBER(SEARCH("p250",A76)),ISNUMBER(SEARCH("berettas",A76))), "Pistol", TRUE, "SMG")</f>
        <v>Knives</v>
      </c>
      <c r="C76" s="16">
        <v>1915</v>
      </c>
      <c r="D76" s="16">
        <v>1992</v>
      </c>
      <c r="E76" s="11">
        <f t="shared" si="10"/>
        <v>119.52</v>
      </c>
      <c r="F76" s="13">
        <f t="shared" si="11"/>
        <v>1872.48</v>
      </c>
      <c r="G76" s="13">
        <f t="shared" si="12"/>
        <v>-42.519999999999982</v>
      </c>
      <c r="H76" s="2">
        <f t="shared" si="13"/>
        <v>-2.2203655352480407</v>
      </c>
    </row>
    <row r="77" spans="1:13" x14ac:dyDescent="0.25">
      <c r="A77" t="s">
        <v>70</v>
      </c>
      <c r="B77" s="17" t="str" cm="1">
        <f t="array" ref="B77">_xlfn.IFS(OR(ISNUMBER(SEARCH("survival",A77)),ISNUMBER(SEARCH("nomad",A77)),ISNUMBER(SEARCH("bayonet",A77)),ISNUMBER(SEARCH("falchion",A77)),ISNUMBER(SEARCH("m9 ",A77)),ISNUMBER(SEARCH("butterfly",A77)),ISNUMBER(SEARCH("skeleton",A77)),ISNUMBER(SEARCH("paracord",A77)),ISNUMBER(SEARCH("classic",A77))), "Knives", OR(ISNUMBER(SEARCH("glove",A77))), "Gloves", OR(ISNUMBER(SEARCH("sticker",A77)),AND(ISNUMBER(SEARCH("fallen",A77)),NOT(ISNUMBER(SEARCH("awp",A77))),NOT(ISNUMBER(SEARCH("ak",A77))))), "Sticker", OR(ISNUMBER(SEARCH("ak ",A77)),ISNUMBER(SEARCH("ak-",A77)),ISNUMBER(SEARCH("m4a1",A77)),ISNUMBER(SEARCH("m4a4",A77)),ISNUMBER(SEARCH("galil",A77)),ISNUMBER(SEARCH("famas",A77))), "Rifles", OR(ISNUMBER(SEARCH("awp",A77)),ISNUMBER(SEARCH("ssg",A77))), "Sniper", OR(ISNUMBER(SEARCH("usp",A77)),ISNUMBER(SEARCH("glock",A77)),ISNUMBER(SEARCH("eagle",A77)),ISNUMBER(SEARCH("p250",A77)),ISNUMBER(SEARCH("berettas",A77))), "Pistol", TRUE, "SMG")</f>
        <v>Rifles</v>
      </c>
      <c r="C77" s="16">
        <v>1400</v>
      </c>
      <c r="D77" s="16">
        <v>1060</v>
      </c>
      <c r="E77" s="11">
        <f t="shared" si="10"/>
        <v>63.599999999999994</v>
      </c>
      <c r="F77" s="13">
        <f t="shared" si="11"/>
        <v>996.4</v>
      </c>
      <c r="G77" s="13">
        <f t="shared" si="12"/>
        <v>-403.6</v>
      </c>
      <c r="H77" s="2">
        <f t="shared" si="13"/>
        <v>-28.828571428571433</v>
      </c>
    </row>
    <row r="78" spans="1:13" x14ac:dyDescent="0.25">
      <c r="A78" t="s">
        <v>26</v>
      </c>
      <c r="B78" s="17" t="str" cm="1">
        <f t="array" ref="B78">_xlfn.IFS(OR(ISNUMBER(SEARCH("survival",A78)),ISNUMBER(SEARCH("nomad",A78)),ISNUMBER(SEARCH("bayonet",A78)),ISNUMBER(SEARCH("falchion",A78)),ISNUMBER(SEARCH("m9 ",A78)),ISNUMBER(SEARCH("butterfly",A78)),ISNUMBER(SEARCH("skeleton",A78)),ISNUMBER(SEARCH("paracord",A78)),ISNUMBER(SEARCH("classic",A78))), "Knives", OR(ISNUMBER(SEARCH("glove",A78))), "Gloves", OR(ISNUMBER(SEARCH("sticker",A78)),AND(ISNUMBER(SEARCH("fallen",A78)),NOT(ISNUMBER(SEARCH("awp",A78))),NOT(ISNUMBER(SEARCH("ak",A78))))), "Sticker", OR(ISNUMBER(SEARCH("ak ",A78)),ISNUMBER(SEARCH("ak-",A78)),ISNUMBER(SEARCH("m4a1",A78)),ISNUMBER(SEARCH("m4a4",A78)),ISNUMBER(SEARCH("galil",A78)),ISNUMBER(SEARCH("famas",A78))), "Rifles", OR(ISNUMBER(SEARCH("awp",A78)),ISNUMBER(SEARCH("ssg",A78))), "Sniper", OR(ISNUMBER(SEARCH("usp",A78)),ISNUMBER(SEARCH("glock",A78)),ISNUMBER(SEARCH("eagle",A78)),ISNUMBER(SEARCH("p250",A78)),ISNUMBER(SEARCH("berettas",A78))), "Pistol", TRUE, "SMG")</f>
        <v>Sticker</v>
      </c>
      <c r="C78" s="16">
        <v>700</v>
      </c>
      <c r="D78" s="16">
        <v>1400</v>
      </c>
      <c r="E78" s="11">
        <f t="shared" si="10"/>
        <v>84</v>
      </c>
      <c r="F78" s="13">
        <f t="shared" si="11"/>
        <v>1316</v>
      </c>
      <c r="G78" s="13">
        <f t="shared" si="12"/>
        <v>616</v>
      </c>
      <c r="H78" s="2">
        <f t="shared" si="13"/>
        <v>88</v>
      </c>
      <c r="L78" s="8" t="s">
        <v>7</v>
      </c>
      <c r="M78" s="27">
        <f>SUM(G2:G101)</f>
        <v>9901.4999999999982</v>
      </c>
    </row>
    <row r="79" spans="1:13" x14ac:dyDescent="0.25">
      <c r="A79" t="s">
        <v>23</v>
      </c>
      <c r="B79" s="17" t="str" cm="1">
        <f t="array" ref="B79">_xlfn.IFS(OR(ISNUMBER(SEARCH("survival",A79)),ISNUMBER(SEARCH("nomad",A79)),ISNUMBER(SEARCH("bayonet",A79)),ISNUMBER(SEARCH("falchion",A79)),ISNUMBER(SEARCH("m9 ",A79)),ISNUMBER(SEARCH("butterfly",A79)),ISNUMBER(SEARCH("skeleton",A79)),ISNUMBER(SEARCH("paracord",A79)),ISNUMBER(SEARCH("classic",A79))), "Knives", OR(ISNUMBER(SEARCH("glove",A79))), "Gloves", OR(ISNUMBER(SEARCH("sticker",A79)),AND(ISNUMBER(SEARCH("fallen",A79)),NOT(ISNUMBER(SEARCH("awp",A79))),NOT(ISNUMBER(SEARCH("ak",A79))))), "Sticker", OR(ISNUMBER(SEARCH("ak ",A79)),ISNUMBER(SEARCH("ak-",A79)),ISNUMBER(SEARCH("m4a1",A79)),ISNUMBER(SEARCH("m4a4",A79)),ISNUMBER(SEARCH("galil",A79)),ISNUMBER(SEARCH("famas",A79))), "Rifles", OR(ISNUMBER(SEARCH("awp",A79)),ISNUMBER(SEARCH("ssg",A79))), "Sniper", OR(ISNUMBER(SEARCH("usp",A79)),ISNUMBER(SEARCH("glock",A79)),ISNUMBER(SEARCH("eagle",A79)),ISNUMBER(SEARCH("p250",A79)),ISNUMBER(SEARCH("berettas",A79))), "Pistol", TRUE, "SMG")</f>
        <v>Knives</v>
      </c>
      <c r="C79" s="16">
        <v>720</v>
      </c>
      <c r="D79" s="16">
        <v>850</v>
      </c>
      <c r="E79" s="11">
        <f t="shared" si="10"/>
        <v>51</v>
      </c>
      <c r="F79" s="13">
        <f t="shared" si="11"/>
        <v>799</v>
      </c>
      <c r="G79" s="13">
        <f t="shared" si="12"/>
        <v>79</v>
      </c>
      <c r="H79" s="2">
        <f t="shared" si="13"/>
        <v>10.972222222222221</v>
      </c>
    </row>
    <row r="80" spans="1:13" x14ac:dyDescent="0.25">
      <c r="A80" t="s">
        <v>62</v>
      </c>
      <c r="B80" s="17" t="str" cm="1">
        <f t="array" ref="B80">_xlfn.IFS(OR(ISNUMBER(SEARCH("survival",A80)),ISNUMBER(SEARCH("nomad",A80)),ISNUMBER(SEARCH("bayonet",A80)),ISNUMBER(SEARCH("falchion",A80)),ISNUMBER(SEARCH("m9 ",A80)),ISNUMBER(SEARCH("butterfly",A80)),ISNUMBER(SEARCH("skeleton",A80)),ISNUMBER(SEARCH("paracord",A80)),ISNUMBER(SEARCH("classic",A80))), "Knives", OR(ISNUMBER(SEARCH("glove",A80))), "Gloves", OR(ISNUMBER(SEARCH("sticker",A80)),AND(ISNUMBER(SEARCH("fallen",A80)),NOT(ISNUMBER(SEARCH("awp",A80))),NOT(ISNUMBER(SEARCH("ak",A80))))), "Sticker", OR(ISNUMBER(SEARCH("ak ",A80)),ISNUMBER(SEARCH("ak-",A80)),ISNUMBER(SEARCH("m4a1",A80)),ISNUMBER(SEARCH("m4a4",A80)),ISNUMBER(SEARCH("galil",A80)),ISNUMBER(SEARCH("famas",A80))), "Rifles", OR(ISNUMBER(SEARCH("awp",A80)),ISNUMBER(SEARCH("ssg",A80))), "Sniper", OR(ISNUMBER(SEARCH("usp",A80)),ISNUMBER(SEARCH("glock",A80)),ISNUMBER(SEARCH("eagle",A80)),ISNUMBER(SEARCH("p250",A80)),ISNUMBER(SEARCH("berettas",A80))), "Pistol", TRUE, "SMG")</f>
        <v>Pistol</v>
      </c>
      <c r="C80" s="16">
        <v>150</v>
      </c>
      <c r="D80" s="16">
        <v>245</v>
      </c>
      <c r="E80" s="11">
        <f t="shared" si="10"/>
        <v>14.7</v>
      </c>
      <c r="F80" s="13">
        <f t="shared" si="11"/>
        <v>230.3</v>
      </c>
      <c r="G80" s="13">
        <f t="shared" si="12"/>
        <v>80.300000000000011</v>
      </c>
      <c r="H80" s="2">
        <f t="shared" si="13"/>
        <v>53.533333333333346</v>
      </c>
    </row>
    <row r="81" spans="1:8" x14ac:dyDescent="0.25">
      <c r="A81" t="s">
        <v>23</v>
      </c>
      <c r="B81" s="17" t="str" cm="1">
        <f t="array" ref="B81">_xlfn.IFS(OR(ISNUMBER(SEARCH("survival",A81)),ISNUMBER(SEARCH("nomad",A81)),ISNUMBER(SEARCH("bayonet",A81)),ISNUMBER(SEARCH("falchion",A81)),ISNUMBER(SEARCH("m9 ",A81)),ISNUMBER(SEARCH("butterfly",A81)),ISNUMBER(SEARCH("skeleton",A81)),ISNUMBER(SEARCH("paracord",A81)),ISNUMBER(SEARCH("classic",A81))), "Knives", OR(ISNUMBER(SEARCH("glove",A81))), "Gloves", OR(ISNUMBER(SEARCH("sticker",A81)),AND(ISNUMBER(SEARCH("fallen",A81)),NOT(ISNUMBER(SEARCH("awp",A81))),NOT(ISNUMBER(SEARCH("ak",A81))))), "Sticker", OR(ISNUMBER(SEARCH("ak ",A81)),ISNUMBER(SEARCH("ak-",A81)),ISNUMBER(SEARCH("m4a1",A81)),ISNUMBER(SEARCH("m4a4",A81)),ISNUMBER(SEARCH("galil",A81)),ISNUMBER(SEARCH("famas",A81))), "Rifles", OR(ISNUMBER(SEARCH("awp",A81)),ISNUMBER(SEARCH("ssg",A81))), "Sniper", OR(ISNUMBER(SEARCH("usp",A81)),ISNUMBER(SEARCH("glock",A81)),ISNUMBER(SEARCH("eagle",A81)),ISNUMBER(SEARCH("p250",A81)),ISNUMBER(SEARCH("berettas",A81))), "Pistol", TRUE, "SMG")</f>
        <v>Knives</v>
      </c>
      <c r="C81" s="16">
        <v>700</v>
      </c>
      <c r="D81" s="16">
        <v>820</v>
      </c>
      <c r="E81" s="11">
        <f t="shared" si="10"/>
        <v>49.199999999999996</v>
      </c>
      <c r="F81" s="13">
        <f t="shared" si="11"/>
        <v>770.8</v>
      </c>
      <c r="G81" s="13">
        <f t="shared" si="12"/>
        <v>70.799999999999955</v>
      </c>
      <c r="H81" s="2">
        <f t="shared" si="13"/>
        <v>10.114285714285707</v>
      </c>
    </row>
    <row r="82" spans="1:8" x14ac:dyDescent="0.25">
      <c r="A82" t="s">
        <v>71</v>
      </c>
      <c r="B82" s="17" t="str" cm="1">
        <f t="array" ref="B82">_xlfn.IFS(OR(ISNUMBER(SEARCH("survival",A82)),ISNUMBER(SEARCH("nomad",A82)),ISNUMBER(SEARCH("bayonet",A82)),ISNUMBER(SEARCH("falchion",A82)),ISNUMBER(SEARCH("m9 ",A82)),ISNUMBER(SEARCH("butterfly",A82)),ISNUMBER(SEARCH("skeleton",A82)),ISNUMBER(SEARCH("paracord",A82)),ISNUMBER(SEARCH("classic",A82))), "Knives", OR(ISNUMBER(SEARCH("glove",A82))), "Gloves", OR(ISNUMBER(SEARCH("sticker",A82)),AND(ISNUMBER(SEARCH("fallen",A82)),NOT(ISNUMBER(SEARCH("awp",A82))),NOT(ISNUMBER(SEARCH("ak",A82))))), "Sticker", OR(ISNUMBER(SEARCH("ak ",A82)),ISNUMBER(SEARCH("ak-",A82)),ISNUMBER(SEARCH("m4a1",A82)),ISNUMBER(SEARCH("m4a4",A82)),ISNUMBER(SEARCH("galil",A82)),ISNUMBER(SEARCH("famas",A82))), "Rifles", OR(ISNUMBER(SEARCH("awp",A82)),ISNUMBER(SEARCH("ssg",A82))), "Sniper", OR(ISNUMBER(SEARCH("usp",A82)),ISNUMBER(SEARCH("glock",A82)),ISNUMBER(SEARCH("eagle",A82)),ISNUMBER(SEARCH("p250",A82)),ISNUMBER(SEARCH("berettas",A82))), "Pistol", TRUE, "SMG")</f>
        <v>Rifles</v>
      </c>
      <c r="C82" s="16">
        <v>1950</v>
      </c>
      <c r="D82" s="16">
        <v>2000</v>
      </c>
      <c r="E82" s="11">
        <f t="shared" si="10"/>
        <v>120</v>
      </c>
      <c r="F82" s="13">
        <f t="shared" si="11"/>
        <v>1880</v>
      </c>
      <c r="G82" s="13">
        <f t="shared" si="12"/>
        <v>-70</v>
      </c>
      <c r="H82" s="2">
        <f t="shared" si="13"/>
        <v>-3.5897435897435894</v>
      </c>
    </row>
    <row r="83" spans="1:8" x14ac:dyDescent="0.25">
      <c r="A83" t="s">
        <v>71</v>
      </c>
      <c r="B83" s="17" t="str" cm="1">
        <f t="array" ref="B83">_xlfn.IFS(OR(ISNUMBER(SEARCH("survival",A83)),ISNUMBER(SEARCH("nomad",A83)),ISNUMBER(SEARCH("bayonet",A83)),ISNUMBER(SEARCH("falchion",A83)),ISNUMBER(SEARCH("m9 ",A83)),ISNUMBER(SEARCH("butterfly",A83)),ISNUMBER(SEARCH("skeleton",A83)),ISNUMBER(SEARCH("paracord",A83)),ISNUMBER(SEARCH("classic",A83))), "Knives", OR(ISNUMBER(SEARCH("glove",A83))), "Gloves", OR(ISNUMBER(SEARCH("sticker",A83)),AND(ISNUMBER(SEARCH("fallen",A83)),NOT(ISNUMBER(SEARCH("awp",A83))),NOT(ISNUMBER(SEARCH("ak",A83))))), "Sticker", OR(ISNUMBER(SEARCH("ak ",A83)),ISNUMBER(SEARCH("ak-",A83)),ISNUMBER(SEARCH("m4a1",A83)),ISNUMBER(SEARCH("m4a4",A83)),ISNUMBER(SEARCH("galil",A83)),ISNUMBER(SEARCH("famas",A83))), "Rifles", OR(ISNUMBER(SEARCH("awp",A83)),ISNUMBER(SEARCH("ssg",A83))), "Sniper", OR(ISNUMBER(SEARCH("usp",A83)),ISNUMBER(SEARCH("glock",A83)),ISNUMBER(SEARCH("eagle",A83)),ISNUMBER(SEARCH("p250",A83)),ISNUMBER(SEARCH("berettas",A83))), "Pistol", TRUE, "SMG")</f>
        <v>Rifles</v>
      </c>
      <c r="C83" s="16">
        <v>2250</v>
      </c>
      <c r="D83" s="16">
        <v>2000</v>
      </c>
      <c r="E83" s="11">
        <f t="shared" si="10"/>
        <v>120</v>
      </c>
      <c r="F83" s="13">
        <f t="shared" si="11"/>
        <v>1880</v>
      </c>
      <c r="G83" s="13">
        <f t="shared" si="12"/>
        <v>-370</v>
      </c>
      <c r="H83" s="2">
        <f t="shared" si="13"/>
        <v>-16.444444444444446</v>
      </c>
    </row>
    <row r="84" spans="1:8" x14ac:dyDescent="0.25">
      <c r="A84" t="s">
        <v>31</v>
      </c>
      <c r="B84" s="17" t="str" cm="1">
        <f t="array" ref="B84">_xlfn.IFS(OR(ISNUMBER(SEARCH("survival",A84)),ISNUMBER(SEARCH("nomad",A84)),ISNUMBER(SEARCH("bayonet",A84)),ISNUMBER(SEARCH("falchion",A84)),ISNUMBER(SEARCH("m9 ",A84)),ISNUMBER(SEARCH("butterfly",A84)),ISNUMBER(SEARCH("skeleton",A84)),ISNUMBER(SEARCH("paracord",A84)),ISNUMBER(SEARCH("classic",A84))), "Knives", OR(ISNUMBER(SEARCH("glove",A84))), "Gloves", OR(ISNUMBER(SEARCH("sticker",A84)),AND(ISNUMBER(SEARCH("fallen",A84)),NOT(ISNUMBER(SEARCH("awp",A84))),NOT(ISNUMBER(SEARCH("ak",A84))))), "Sticker", OR(ISNUMBER(SEARCH("ak ",A84)),ISNUMBER(SEARCH("ak-",A84)),ISNUMBER(SEARCH("m4a1",A84)),ISNUMBER(SEARCH("m4a4",A84)),ISNUMBER(SEARCH("galil",A84)),ISNUMBER(SEARCH("famas",A84))), "Rifles", OR(ISNUMBER(SEARCH("awp",A84)),ISNUMBER(SEARCH("ssg",A84))), "Sniper", OR(ISNUMBER(SEARCH("usp",A84)),ISNUMBER(SEARCH("glock",A84)),ISNUMBER(SEARCH("eagle",A84)),ISNUMBER(SEARCH("p250",A84)),ISNUMBER(SEARCH("berettas",A84))), "Pistol", TRUE, "SMG")</f>
        <v>Sniper</v>
      </c>
      <c r="C84" s="16">
        <v>830</v>
      </c>
      <c r="D84" s="16">
        <v>1120</v>
      </c>
      <c r="E84" s="11">
        <f t="shared" si="10"/>
        <v>67.2</v>
      </c>
      <c r="F84" s="13">
        <f t="shared" si="11"/>
        <v>1052.8</v>
      </c>
      <c r="G84" s="13">
        <f t="shared" si="12"/>
        <v>222.79999999999995</v>
      </c>
      <c r="H84" s="2">
        <f t="shared" si="13"/>
        <v>26.843373493975896</v>
      </c>
    </row>
    <row r="85" spans="1:8" x14ac:dyDescent="0.25">
      <c r="A85" t="s">
        <v>23</v>
      </c>
      <c r="B85" s="17" t="str" cm="1">
        <f t="array" ref="B85">_xlfn.IFS(OR(ISNUMBER(SEARCH("survival",A85)),ISNUMBER(SEARCH("nomad",A85)),ISNUMBER(SEARCH("bayonet",A85)),ISNUMBER(SEARCH("falchion",A85)),ISNUMBER(SEARCH("m9 ",A85)),ISNUMBER(SEARCH("butterfly",A85)),ISNUMBER(SEARCH("skeleton",A85)),ISNUMBER(SEARCH("paracord",A85)),ISNUMBER(SEARCH("classic",A85))), "Knives", OR(ISNUMBER(SEARCH("glove",A85))), "Gloves", OR(ISNUMBER(SEARCH("sticker",A85)),AND(ISNUMBER(SEARCH("fallen",A85)),NOT(ISNUMBER(SEARCH("awp",A85))),NOT(ISNUMBER(SEARCH("ak",A85))))), "Sticker", OR(ISNUMBER(SEARCH("ak ",A85)),ISNUMBER(SEARCH("ak-",A85)),ISNUMBER(SEARCH("m4a1",A85)),ISNUMBER(SEARCH("m4a4",A85)),ISNUMBER(SEARCH("galil",A85)),ISNUMBER(SEARCH("famas",A85))), "Rifles", OR(ISNUMBER(SEARCH("awp",A85)),ISNUMBER(SEARCH("ssg",A85))), "Sniper", OR(ISNUMBER(SEARCH("usp",A85)),ISNUMBER(SEARCH("glock",A85)),ISNUMBER(SEARCH("eagle",A85)),ISNUMBER(SEARCH("p250",A85)),ISNUMBER(SEARCH("berettas",A85))), "Pistol", TRUE, "SMG")</f>
        <v>Knives</v>
      </c>
      <c r="C85" s="16">
        <v>670</v>
      </c>
      <c r="D85" s="16">
        <v>770</v>
      </c>
      <c r="E85" s="11">
        <f t="shared" si="10"/>
        <v>46.199999999999996</v>
      </c>
      <c r="F85" s="13">
        <f t="shared" si="11"/>
        <v>723.8</v>
      </c>
      <c r="G85" s="13">
        <f t="shared" si="12"/>
        <v>53.799999999999955</v>
      </c>
      <c r="H85" s="2">
        <f t="shared" si="13"/>
        <v>8.0298507462686501</v>
      </c>
    </row>
    <row r="86" spans="1:8" x14ac:dyDescent="0.25">
      <c r="A86" t="s">
        <v>72</v>
      </c>
      <c r="B86" s="17" t="str" cm="1">
        <f t="array" ref="B86">_xlfn.IFS(OR(ISNUMBER(SEARCH("survival",A86)),ISNUMBER(SEARCH("nomad",A86)),ISNUMBER(SEARCH("bayonet",A86)),ISNUMBER(SEARCH("falchion",A86)),ISNUMBER(SEARCH("m9 ",A86)),ISNUMBER(SEARCH("butterfly",A86)),ISNUMBER(SEARCH("skeleton",A86)),ISNUMBER(SEARCH("paracord",A86)),ISNUMBER(SEARCH("classic",A86))), "Knives", OR(ISNUMBER(SEARCH("glove",A86))), "Gloves", OR(ISNUMBER(SEARCH("sticker",A86)),AND(ISNUMBER(SEARCH("fallen",A86)),NOT(ISNUMBER(SEARCH("awp",A86))),NOT(ISNUMBER(SEARCH("ak",A86))))), "Sticker", OR(ISNUMBER(SEARCH("ak ",A86)),ISNUMBER(SEARCH("ak-",A86)),ISNUMBER(SEARCH("m4a1",A86)),ISNUMBER(SEARCH("m4a4",A86)),ISNUMBER(SEARCH("galil",A86)),ISNUMBER(SEARCH("famas",A86))), "Rifles", OR(ISNUMBER(SEARCH("awp",A86)),ISNUMBER(SEARCH("ssg",A86))), "Sniper", OR(ISNUMBER(SEARCH("usp",A86)),ISNUMBER(SEARCH("glock",A86)),ISNUMBER(SEARCH("eagle",A86)),ISNUMBER(SEARCH("p250",A86)),ISNUMBER(SEARCH("berettas",A86))), "Pistol", TRUE, "SMG")</f>
        <v>Knives</v>
      </c>
      <c r="C86" s="16">
        <v>700</v>
      </c>
      <c r="D86" s="16">
        <v>780</v>
      </c>
      <c r="E86" s="11">
        <f t="shared" si="10"/>
        <v>46.8</v>
      </c>
      <c r="F86" s="13">
        <f t="shared" si="11"/>
        <v>733.2</v>
      </c>
      <c r="G86" s="13">
        <f t="shared" si="12"/>
        <v>33.200000000000045</v>
      </c>
      <c r="H86" s="2">
        <f t="shared" si="13"/>
        <v>4.7428571428571491</v>
      </c>
    </row>
    <row r="87" spans="1:8" x14ac:dyDescent="0.25">
      <c r="A87" t="s">
        <v>71</v>
      </c>
      <c r="B87" s="17" t="str" cm="1">
        <f t="array" ref="B87">_xlfn.IFS(OR(ISNUMBER(SEARCH("survival",A87)),ISNUMBER(SEARCH("nomad",A87)),ISNUMBER(SEARCH("bayonet",A87)),ISNUMBER(SEARCH("falchion",A87)),ISNUMBER(SEARCH("m9 ",A87)),ISNUMBER(SEARCH("butterfly",A87)),ISNUMBER(SEARCH("skeleton",A87)),ISNUMBER(SEARCH("paracord",A87)),ISNUMBER(SEARCH("classic",A87))), "Knives", OR(ISNUMBER(SEARCH("glove",A87))), "Gloves", OR(ISNUMBER(SEARCH("sticker",A87)),AND(ISNUMBER(SEARCH("fallen",A87)),NOT(ISNUMBER(SEARCH("awp",A87))),NOT(ISNUMBER(SEARCH("ak",A87))))), "Sticker", OR(ISNUMBER(SEARCH("ak ",A87)),ISNUMBER(SEARCH("ak-",A87)),ISNUMBER(SEARCH("m4a1",A87)),ISNUMBER(SEARCH("m4a4",A87)),ISNUMBER(SEARCH("galil",A87)),ISNUMBER(SEARCH("famas",A87))), "Rifles", OR(ISNUMBER(SEARCH("awp",A87)),ISNUMBER(SEARCH("ssg",A87))), "Sniper", OR(ISNUMBER(SEARCH("usp",A87)),ISNUMBER(SEARCH("glock",A87)),ISNUMBER(SEARCH("eagle",A87)),ISNUMBER(SEARCH("p250",A87)),ISNUMBER(SEARCH("berettas",A87))), "Pistol", TRUE, "SMG")</f>
        <v>Rifles</v>
      </c>
      <c r="C87" s="16">
        <v>1500</v>
      </c>
      <c r="D87" s="16">
        <v>1650</v>
      </c>
      <c r="E87" s="11">
        <f t="shared" ref="E87:E101" si="14">D87*6%</f>
        <v>99</v>
      </c>
      <c r="F87" s="13">
        <f t="shared" ref="F87:F101" si="15">D87-E87</f>
        <v>1551</v>
      </c>
      <c r="G87" s="13">
        <f t="shared" ref="G87:G101" si="16">F87-C87</f>
        <v>51</v>
      </c>
      <c r="H87" s="2">
        <f t="shared" ref="H87:H101" si="17">IF(C87&gt;0,(G87/C87)*100,0)</f>
        <v>3.4000000000000004</v>
      </c>
    </row>
    <row r="88" spans="1:8" x14ac:dyDescent="0.25">
      <c r="A88" t="s">
        <v>73</v>
      </c>
      <c r="B88" s="17" t="str" cm="1">
        <f t="array" ref="B88">_xlfn.IFS(OR(ISNUMBER(SEARCH("survival",A88)),ISNUMBER(SEARCH("nomad",A88)),ISNUMBER(SEARCH("bayonet",A88)),ISNUMBER(SEARCH("falchion",A88)),ISNUMBER(SEARCH("m9 ",A88)),ISNUMBER(SEARCH("butterfly",A88)),ISNUMBER(SEARCH("skeleton",A88)),ISNUMBER(SEARCH("paracord",A88)),ISNUMBER(SEARCH("classic",A88))), "Knives", OR(ISNUMBER(SEARCH("glove",A88))), "Gloves", OR(ISNUMBER(SEARCH("sticker",A88)),AND(ISNUMBER(SEARCH("fallen",A88)),NOT(ISNUMBER(SEARCH("awp",A88))),NOT(ISNUMBER(SEARCH("ak",A88))))), "Sticker", OR(ISNUMBER(SEARCH("ak ",A88)),ISNUMBER(SEARCH("ak-",A88)),ISNUMBER(SEARCH("m4a1",A88)),ISNUMBER(SEARCH("m4a4",A88)),ISNUMBER(SEARCH("galil",A88)),ISNUMBER(SEARCH("famas",A88))), "Rifles", OR(ISNUMBER(SEARCH("awp",A88)),ISNUMBER(SEARCH("ssg",A88))), "Sniper", OR(ISNUMBER(SEARCH("usp",A88)),ISNUMBER(SEARCH("glock",A88)),ISNUMBER(SEARCH("eagle",A88)),ISNUMBER(SEARCH("p250",A88)),ISNUMBER(SEARCH("berettas",A88))), "Pistol", TRUE, "SMG")</f>
        <v>Gloves</v>
      </c>
      <c r="C88" s="16">
        <v>980</v>
      </c>
      <c r="D88" s="16">
        <v>1060</v>
      </c>
      <c r="E88" s="11">
        <f t="shared" si="14"/>
        <v>63.599999999999994</v>
      </c>
      <c r="F88" s="13">
        <f t="shared" si="15"/>
        <v>996.4</v>
      </c>
      <c r="G88" s="13">
        <f t="shared" si="16"/>
        <v>16.399999999999977</v>
      </c>
      <c r="H88" s="2">
        <f t="shared" si="17"/>
        <v>1.6734693877550995</v>
      </c>
    </row>
    <row r="89" spans="1:8" x14ac:dyDescent="0.25">
      <c r="A89" t="s">
        <v>67</v>
      </c>
      <c r="B89" s="17" t="str" cm="1">
        <f t="array" ref="B89">_xlfn.IFS(OR(ISNUMBER(SEARCH("survival",A89)),ISNUMBER(SEARCH("nomad",A89)),ISNUMBER(SEARCH("bayonet",A89)),ISNUMBER(SEARCH("falchion",A89)),ISNUMBER(SEARCH("m9 ",A89)),ISNUMBER(SEARCH("butterfly",A89)),ISNUMBER(SEARCH("skeleton",A89)),ISNUMBER(SEARCH("paracord",A89)),ISNUMBER(SEARCH("classic",A89))), "Knives", OR(ISNUMBER(SEARCH("glove",A89))), "Gloves", OR(ISNUMBER(SEARCH("sticker",A89)),AND(ISNUMBER(SEARCH("fallen",A89)),NOT(ISNUMBER(SEARCH("awp",A89))),NOT(ISNUMBER(SEARCH("ak",A89))))), "Sticker", OR(ISNUMBER(SEARCH("ak ",A89)),ISNUMBER(SEARCH("ak-",A89)),ISNUMBER(SEARCH("m4a1",A89)),ISNUMBER(SEARCH("m4a4",A89)),ISNUMBER(SEARCH("galil",A89)),ISNUMBER(SEARCH("famas",A89))), "Rifles", OR(ISNUMBER(SEARCH("awp",A89)),ISNUMBER(SEARCH("ssg",A89))), "Sniper", OR(ISNUMBER(SEARCH("usp",A89)),ISNUMBER(SEARCH("glock",A89)),ISNUMBER(SEARCH("eagle",A89)),ISNUMBER(SEARCH("p250",A89)),ISNUMBER(SEARCH("berettas",A89))), "Pistol", TRUE, "SMG")</f>
        <v>Pistol</v>
      </c>
      <c r="C89" s="16">
        <v>850</v>
      </c>
      <c r="D89" s="16">
        <v>600</v>
      </c>
      <c r="E89" s="11">
        <f t="shared" si="14"/>
        <v>36</v>
      </c>
      <c r="F89" s="13">
        <f t="shared" si="15"/>
        <v>564</v>
      </c>
      <c r="G89" s="13">
        <f t="shared" si="16"/>
        <v>-286</v>
      </c>
      <c r="H89" s="2">
        <f t="shared" si="17"/>
        <v>-33.647058823529413</v>
      </c>
    </row>
    <row r="90" spans="1:8" x14ac:dyDescent="0.25">
      <c r="A90" t="s">
        <v>53</v>
      </c>
      <c r="B90" s="17" t="str" cm="1">
        <f t="array" ref="B90">_xlfn.IFS(OR(ISNUMBER(SEARCH("survival",A90)),ISNUMBER(SEARCH("nomad",A90)),ISNUMBER(SEARCH("bayonet",A90)),ISNUMBER(SEARCH("falchion",A90)),ISNUMBER(SEARCH("m9 ",A90)),ISNUMBER(SEARCH("butterfly",A90)),ISNUMBER(SEARCH("skeleton",A90)),ISNUMBER(SEARCH("paracord",A90)),ISNUMBER(SEARCH("classic",A90))), "Knives", OR(ISNUMBER(SEARCH("glove",A90))), "Gloves", OR(ISNUMBER(SEARCH("sticker",A90)),AND(ISNUMBER(SEARCH("fallen",A90)),NOT(ISNUMBER(SEARCH("awp",A90))),NOT(ISNUMBER(SEARCH("ak",A90))))), "Sticker", OR(ISNUMBER(SEARCH("ak ",A90)),ISNUMBER(SEARCH("ak-",A90)),ISNUMBER(SEARCH("m4a1",A90)),ISNUMBER(SEARCH("m4a4",A90)),ISNUMBER(SEARCH("galil",A90)),ISNUMBER(SEARCH("famas",A90))), "Rifles", OR(ISNUMBER(SEARCH("awp",A90)),ISNUMBER(SEARCH("ssg",A90))), "Sniper", OR(ISNUMBER(SEARCH("usp",A90)),ISNUMBER(SEARCH("glock",A90)),ISNUMBER(SEARCH("eagle",A90)),ISNUMBER(SEARCH("p250",A90)),ISNUMBER(SEARCH("berettas",A90))), "Pistol", TRUE, "SMG")</f>
        <v>Knives</v>
      </c>
      <c r="C90" s="16">
        <v>2400</v>
      </c>
      <c r="D90" s="16">
        <v>2700</v>
      </c>
      <c r="E90" s="11">
        <f t="shared" si="14"/>
        <v>162</v>
      </c>
      <c r="F90" s="13">
        <f t="shared" si="15"/>
        <v>2538</v>
      </c>
      <c r="G90" s="13">
        <f t="shared" si="16"/>
        <v>138</v>
      </c>
      <c r="H90" s="2">
        <f t="shared" si="17"/>
        <v>5.75</v>
      </c>
    </row>
    <row r="91" spans="1:8" x14ac:dyDescent="0.25">
      <c r="A91" t="s">
        <v>31</v>
      </c>
      <c r="B91" s="17" t="s">
        <v>17</v>
      </c>
      <c r="C91" s="16">
        <v>800</v>
      </c>
      <c r="D91" s="16">
        <v>1100</v>
      </c>
      <c r="E91" s="11">
        <f t="shared" si="14"/>
        <v>66</v>
      </c>
      <c r="F91" s="13">
        <f t="shared" si="15"/>
        <v>1034</v>
      </c>
      <c r="G91" s="13">
        <f t="shared" si="16"/>
        <v>234</v>
      </c>
      <c r="H91" s="2">
        <f t="shared" si="17"/>
        <v>29.25</v>
      </c>
    </row>
    <row r="92" spans="1:8" x14ac:dyDescent="0.25">
      <c r="B92" s="17"/>
      <c r="E92" s="11">
        <f t="shared" si="14"/>
        <v>0</v>
      </c>
      <c r="F92" s="13">
        <f t="shared" si="15"/>
        <v>0</v>
      </c>
      <c r="G92" s="13">
        <f t="shared" si="16"/>
        <v>0</v>
      </c>
      <c r="H92" s="2">
        <f t="shared" si="17"/>
        <v>0</v>
      </c>
    </row>
    <row r="93" spans="1:8" x14ac:dyDescent="0.25">
      <c r="E93" s="11">
        <f t="shared" si="14"/>
        <v>0</v>
      </c>
      <c r="F93" s="13">
        <f t="shared" si="15"/>
        <v>0</v>
      </c>
      <c r="G93" s="13">
        <f t="shared" si="16"/>
        <v>0</v>
      </c>
      <c r="H93" s="2">
        <f t="shared" si="17"/>
        <v>0</v>
      </c>
    </row>
    <row r="94" spans="1:8" x14ac:dyDescent="0.25">
      <c r="E94" s="11">
        <f t="shared" si="14"/>
        <v>0</v>
      </c>
      <c r="F94" s="13">
        <f t="shared" si="15"/>
        <v>0</v>
      </c>
      <c r="G94" s="13">
        <f t="shared" si="16"/>
        <v>0</v>
      </c>
      <c r="H94" s="2">
        <f t="shared" si="17"/>
        <v>0</v>
      </c>
    </row>
    <row r="95" spans="1:8" x14ac:dyDescent="0.25">
      <c r="E95" s="11">
        <f t="shared" si="14"/>
        <v>0</v>
      </c>
      <c r="F95" s="13">
        <f t="shared" si="15"/>
        <v>0</v>
      </c>
      <c r="G95" s="13">
        <f t="shared" si="16"/>
        <v>0</v>
      </c>
      <c r="H95" s="2">
        <f t="shared" si="17"/>
        <v>0</v>
      </c>
    </row>
    <row r="96" spans="1:8" x14ac:dyDescent="0.25">
      <c r="E96" s="11">
        <f t="shared" si="14"/>
        <v>0</v>
      </c>
      <c r="F96" s="13">
        <f t="shared" si="15"/>
        <v>0</v>
      </c>
      <c r="G96" s="13">
        <f t="shared" si="16"/>
        <v>0</v>
      </c>
      <c r="H96" s="2">
        <f t="shared" si="17"/>
        <v>0</v>
      </c>
    </row>
    <row r="97" spans="5:8" x14ac:dyDescent="0.25">
      <c r="E97" s="11">
        <f t="shared" si="14"/>
        <v>0</v>
      </c>
      <c r="F97" s="13">
        <f t="shared" si="15"/>
        <v>0</v>
      </c>
      <c r="G97" s="13">
        <f t="shared" si="16"/>
        <v>0</v>
      </c>
      <c r="H97" s="2">
        <f t="shared" si="17"/>
        <v>0</v>
      </c>
    </row>
    <row r="98" spans="5:8" x14ac:dyDescent="0.25">
      <c r="E98" s="11">
        <f t="shared" si="14"/>
        <v>0</v>
      </c>
      <c r="F98" s="13">
        <f t="shared" si="15"/>
        <v>0</v>
      </c>
      <c r="G98" s="13">
        <f t="shared" si="16"/>
        <v>0</v>
      </c>
      <c r="H98" s="2">
        <f t="shared" si="17"/>
        <v>0</v>
      </c>
    </row>
    <row r="99" spans="5:8" x14ac:dyDescent="0.25">
      <c r="E99" s="11">
        <f t="shared" si="14"/>
        <v>0</v>
      </c>
      <c r="F99" s="13">
        <f t="shared" si="15"/>
        <v>0</v>
      </c>
      <c r="G99" s="13">
        <f t="shared" si="16"/>
        <v>0</v>
      </c>
      <c r="H99" s="2">
        <f t="shared" si="17"/>
        <v>0</v>
      </c>
    </row>
    <row r="100" spans="5:8" x14ac:dyDescent="0.25">
      <c r="E100" s="11">
        <f t="shared" si="14"/>
        <v>0</v>
      </c>
      <c r="F100" s="13">
        <f t="shared" si="15"/>
        <v>0</v>
      </c>
      <c r="G100" s="13">
        <f t="shared" si="16"/>
        <v>0</v>
      </c>
      <c r="H100" s="2">
        <f t="shared" si="17"/>
        <v>0</v>
      </c>
    </row>
    <row r="101" spans="5:8" x14ac:dyDescent="0.25">
      <c r="E101" s="11">
        <f t="shared" si="14"/>
        <v>0</v>
      </c>
      <c r="F101" s="13">
        <f t="shared" si="15"/>
        <v>0</v>
      </c>
      <c r="G101" s="13">
        <f t="shared" si="16"/>
        <v>0</v>
      </c>
      <c r="H101" s="2">
        <f t="shared" si="17"/>
        <v>0</v>
      </c>
    </row>
  </sheetData>
  <autoFilter ref="A1:H101" xr:uid="{00000000-0001-0000-0000-000000000000}"/>
  <conditionalFormatting sqref="G2:G90">
    <cfRule type="cellIs" dxfId="2" priority="1" operator="between">
      <formula>0</formula>
      <formula>50</formula>
    </cfRule>
    <cfRule type="cellIs" dxfId="1" priority="2" operator="greaterThan">
      <formula>50</formula>
    </cfRule>
    <cfRule type="cellIs" dxfId="0" priority="3" operator="lessThan">
      <formula>0</formula>
    </cfRule>
  </conditionalFormatting>
  <dataValidations count="2">
    <dataValidation type="whole" allowBlank="1" showInputMessage="1" showErrorMessage="1" sqref="C1:C1048576" xr:uid="{402A2151-AAD6-453B-B010-8F077B768989}">
      <formula1>1</formula1>
      <formula2>1000000000</formula2>
    </dataValidation>
    <dataValidation type="whole" allowBlank="1" showInputMessage="1" showErrorMessage="1" sqref="D1:D1048576" xr:uid="{011A9369-A4B5-493E-BBA8-D510737947C1}">
      <formula1>1</formula1>
      <formula2>10000000000</formula2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3FEC-3859-43A3-AEEC-A586959E0F35}">
  <dimension ref="D4:Q27"/>
  <sheetViews>
    <sheetView topLeftCell="J4" workbookViewId="0">
      <selection activeCell="E7" sqref="E7"/>
    </sheetView>
  </sheetViews>
  <sheetFormatPr defaultRowHeight="15" x14ac:dyDescent="0.25"/>
  <cols>
    <col min="4" max="4" width="22.42578125" customWidth="1"/>
    <col min="5" max="5" width="21.28515625" customWidth="1"/>
    <col min="8" max="8" width="14.42578125" bestFit="1" customWidth="1"/>
    <col min="9" max="9" width="9.28515625" bestFit="1" customWidth="1"/>
  </cols>
  <sheetData>
    <row r="4" spans="4:17" x14ac:dyDescent="0.25">
      <c r="M4" s="21"/>
      <c r="N4" s="21"/>
      <c r="O4" s="21"/>
      <c r="P4" s="21"/>
      <c r="Q4" s="21"/>
    </row>
    <row r="5" spans="4:17" x14ac:dyDescent="0.25">
      <c r="M5" s="21"/>
      <c r="N5" s="21"/>
      <c r="O5" s="21"/>
      <c r="P5" s="21"/>
      <c r="Q5" s="21"/>
    </row>
    <row r="6" spans="4:17" x14ac:dyDescent="0.25">
      <c r="M6" s="21"/>
      <c r="N6" s="22" t="s">
        <v>12</v>
      </c>
      <c r="O6" s="22" t="s">
        <v>19</v>
      </c>
      <c r="P6" s="22" t="s">
        <v>6</v>
      </c>
      <c r="Q6" s="21"/>
    </row>
    <row r="7" spans="4:17" x14ac:dyDescent="0.25">
      <c r="D7" t="s">
        <v>12</v>
      </c>
      <c r="E7" t="s">
        <v>17</v>
      </c>
      <c r="M7" s="21"/>
      <c r="N7" s="23" t="s">
        <v>13</v>
      </c>
      <c r="O7" s="24">
        <f>SUMIF('Controle de Skins'!$B:$B,N7,'Controle de Skins'!$G:$G)</f>
        <v>1992.68</v>
      </c>
      <c r="P7" s="25">
        <f>IF(SUMIF('Controle de Skins'!$B:$B,N7,'Controle de Skins'!$C:$C)=0,0,O7/SUMIF('Controle de Skins'!$B:$B,N7,'Controle de Skins'!$C:$C)*100)</f>
        <v>7.0775350736991651</v>
      </c>
      <c r="Q7" s="21"/>
    </row>
    <row r="8" spans="4:17" x14ac:dyDescent="0.25">
      <c r="M8" s="21"/>
      <c r="N8" s="23" t="s">
        <v>20</v>
      </c>
      <c r="O8" s="24">
        <f>SUMIF('Controle de Skins'!$B:$B,N8,'Controle de Skins'!$G:$G)</f>
        <v>119.01999999999998</v>
      </c>
      <c r="P8" s="25">
        <f>IF(SUMIF('Controle de Skins'!$B:$B,N8,'Controle de Skins'!$C:$C)=0,0,O8/SUMIF('Controle de Skins'!$B:$B,N8,'Controle de Skins'!$C:$C)*100)</f>
        <v>4.8579591836734686</v>
      </c>
      <c r="Q8" s="21"/>
    </row>
    <row r="9" spans="4:17" x14ac:dyDescent="0.25">
      <c r="D9" s="4" t="s">
        <v>8</v>
      </c>
      <c r="E9" s="11">
        <f>SUMIF('Controle de Skins'!$B:$B,$E$7,'Controle de Skins'!$C:$C)</f>
        <v>6375</v>
      </c>
      <c r="M9" s="21"/>
      <c r="N9" s="23" t="s">
        <v>14</v>
      </c>
      <c r="O9" s="24">
        <f>SUMIF('Controle de Skins'!$B:$B,N9,'Controle de Skins'!$G:$G)</f>
        <v>1082.8399999999999</v>
      </c>
      <c r="P9" s="25">
        <f>IF(SUMIF('Controle de Skins'!$B:$B,N9,'Controle de Skins'!$C:$C)=0,0,O9/SUMIF('Controle de Skins'!$B:$B,N9,'Controle de Skins'!$C:$C)*100)</f>
        <v>83.23136049192928</v>
      </c>
      <c r="Q9" s="21"/>
    </row>
    <row r="10" spans="4:17" x14ac:dyDescent="0.25">
      <c r="D10" s="4" t="s">
        <v>9</v>
      </c>
      <c r="E10" s="11">
        <f>SUMIF('Controle de Skins'!$B:$B,$E$7,'Controle de Skins'!$D:$D)</f>
        <v>9430</v>
      </c>
      <c r="M10" s="21"/>
      <c r="N10" s="23" t="s">
        <v>16</v>
      </c>
      <c r="O10" s="24">
        <f>SUMIF('Controle de Skins'!$B:$B,N10,'Controle de Skins'!$G:$G)</f>
        <v>920.02</v>
      </c>
      <c r="P10" s="25">
        <f>IF(SUMIF('Controle de Skins'!$B:$B,N10,'Controle de Skins'!$C:$C)=0,0,O10/SUMIF('Controle de Skins'!$B:$B,N10,'Controle de Skins'!$C:$C)*100)</f>
        <v>6.8905032953864591</v>
      </c>
      <c r="Q10" s="21"/>
    </row>
    <row r="11" spans="4:17" x14ac:dyDescent="0.25">
      <c r="D11" s="4" t="s">
        <v>3</v>
      </c>
      <c r="E11" s="11">
        <f>SUMIF('Controle de Skins'!$B:$B,$E$7,'Controle de Skins'!$E:$E)</f>
        <v>565.79999999999995</v>
      </c>
      <c r="M11" s="21"/>
      <c r="N11" s="23" t="s">
        <v>17</v>
      </c>
      <c r="O11" s="24">
        <f>SUMIF('Controle de Skins'!$B:$B,N11,'Controle de Skins'!$G:$G)</f>
        <v>2489.1999999999998</v>
      </c>
      <c r="P11" s="25">
        <f>IF(SUMIF('Controle de Skins'!$B:$B,N11,'Controle de Skins'!$C:$C)=0,0,O11/SUMIF('Controle de Skins'!$B:$B,N11,'Controle de Skins'!$C:$C)*100)</f>
        <v>39.046274509803922</v>
      </c>
      <c r="Q11" s="21"/>
    </row>
    <row r="12" spans="4:17" x14ac:dyDescent="0.25">
      <c r="D12" s="4" t="s">
        <v>10</v>
      </c>
      <c r="E12" s="11">
        <f>SUMIF('Controle de Skins'!$B:$B,$E$7,'Controle de Skins'!$F:$F)</f>
        <v>8864.2000000000007</v>
      </c>
      <c r="M12" s="21"/>
      <c r="N12" s="23" t="s">
        <v>15</v>
      </c>
      <c r="O12" s="24">
        <f>SUMIF('Controle de Skins'!$B:$B,N12,'Controle de Skins'!$G:$G)</f>
        <v>1797.1400000000003</v>
      </c>
      <c r="P12" s="25">
        <f>IF(SUMIF('Controle de Skins'!$B:$B,N12,'Controle de Skins'!$C:$C)=0,0,O12/SUMIF('Controle de Skins'!$B:$B,N12,'Controle de Skins'!$C:$C)*100)</f>
        <v>44.26453201970444</v>
      </c>
      <c r="Q12" s="21"/>
    </row>
    <row r="13" spans="4:17" x14ac:dyDescent="0.25">
      <c r="D13" s="4" t="s">
        <v>11</v>
      </c>
      <c r="E13" s="11">
        <f>SUMIF('Controle de Skins'!$B:$B,$E$7,'Controle de Skins'!$G:$G)</f>
        <v>2489.1999999999998</v>
      </c>
      <c r="M13" s="21"/>
      <c r="N13" s="23" t="s">
        <v>18</v>
      </c>
      <c r="O13" s="24">
        <f>SUMIF('Controle de Skins'!$B:$B,N13,'Controle de Skins'!$G:$G)</f>
        <v>1500.6</v>
      </c>
      <c r="P13" s="25">
        <f>IF(SUMIF('Controle de Skins'!$B:$B,N13,'Controle de Skins'!$C:$C)=0,0,O13/SUMIF('Controle de Skins'!$B:$B,N13,'Controle de Skins'!$C:$C)*100)</f>
        <v>248.03305785123965</v>
      </c>
      <c r="Q13" s="21"/>
    </row>
    <row r="14" spans="4:17" x14ac:dyDescent="0.25">
      <c r="D14" s="4" t="s">
        <v>6</v>
      </c>
      <c r="E14" s="20">
        <f>IF(E9=0,0,(E13/E9)*100)</f>
        <v>39.046274509803922</v>
      </c>
      <c r="M14" s="21"/>
      <c r="N14" s="23"/>
      <c r="O14" s="23"/>
      <c r="P14" s="23"/>
      <c r="Q14" s="21"/>
    </row>
    <row r="15" spans="4:17" x14ac:dyDescent="0.25">
      <c r="M15" s="21"/>
      <c r="N15" s="21"/>
      <c r="O15" s="21"/>
      <c r="P15" s="21"/>
      <c r="Q15" s="21"/>
    </row>
    <row r="16" spans="4:17" x14ac:dyDescent="0.25">
      <c r="M16" s="21"/>
      <c r="N16" s="21"/>
      <c r="O16" s="21"/>
      <c r="P16" s="21"/>
      <c r="Q16" s="21"/>
    </row>
    <row r="17" spans="4:17" x14ac:dyDescent="0.25">
      <c r="M17" s="26"/>
      <c r="N17" s="26"/>
      <c r="O17" s="26"/>
      <c r="P17" s="26"/>
      <c r="Q17" s="26"/>
    </row>
    <row r="23" spans="4:17" x14ac:dyDescent="0.25">
      <c r="D23" s="28" t="s">
        <v>21</v>
      </c>
      <c r="E23" s="28" t="s">
        <v>22</v>
      </c>
    </row>
    <row r="24" spans="4:17" x14ac:dyDescent="0.25">
      <c r="D24" t="str" cm="1">
        <f t="array" ref="D24">_xlfn.LET(_xlpm.nomes,_xlfn.UNIQUE('Controle de Skins'!A2:A90),_xlpm.lucros,SUMIF('Controle de Skins'!A2:A90,_xlpm.nomes,'Controle de Skins'!G2:G90),_xlfn.XLOOKUP(MAX(_xlpm.lucros),_xlpm.lucros,_xlpm.nomes))</f>
        <v>Ssg Dragonfire</v>
      </c>
      <c r="E24" s="13" cm="1">
        <f t="array" ref="E24">_xlfn.LET(_xlpm.nomes,_xlfn.UNIQUE('Controle de Skins'!A2:A90),_xlpm.lucros,SUMIF('Controle de Skins'!A2:A90,_xlpm.nomes,'Controle de Skins'!G2:G90),MAX(_xlpm.lucros))</f>
        <v>913.2</v>
      </c>
    </row>
    <row r="26" spans="4:17" x14ac:dyDescent="0.25">
      <c r="D26" s="28" t="s">
        <v>74</v>
      </c>
      <c r="E26" s="28" t="s">
        <v>22</v>
      </c>
    </row>
    <row r="27" spans="4:17" x14ac:dyDescent="0.25">
      <c r="D27" t="str" cm="1">
        <f t="array" ref="D27">_xlfn.LET(_xlpm.nomes,_xlfn.UNIQUE('Controle de Skins'!A2:A90),_xlpm.lucros,SUMIF('Controle de Skins'!A2:A90,_xlpm.nomes,'Controle de Skins'!G2:G90),_xlfn.XLOOKUP(MIN(_xlpm.lucros),_xlpm.lucros,_xlpm.nomes))</f>
        <v>Ak B The Monster</v>
      </c>
      <c r="E27" cm="1">
        <f t="array" ref="E27">_xlfn.LET(_xlpm.nomes,_xlfn.UNIQUE('Controle de Skins'!A2:A90),_xlpm.lucros,SUMIF('Controle de Skins'!A2:A90,_xlpm.nomes,'Controle de Skins'!G2:G90),MIN(_xlpm.lucros))</f>
        <v>-403.6</v>
      </c>
    </row>
  </sheetData>
  <dataValidations count="1">
    <dataValidation type="list" allowBlank="1" showInputMessage="1" showErrorMessage="1" sqref="E7" xr:uid="{63066BC7-BFDD-4F06-A140-FE3185E008BA}">
      <formula1>"Knives,Gloves,Sticker,Rifles,Sniper,Pistol,SMG"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Skins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Fabrício Formentini</cp:lastModifiedBy>
  <cp:revision/>
  <dcterms:created xsi:type="dcterms:W3CDTF">2025-10-24T17:52:04Z</dcterms:created>
  <dcterms:modified xsi:type="dcterms:W3CDTF">2026-06-30T02:32:13Z</dcterms:modified>
  <cp:category/>
  <cp:contentStatus/>
</cp:coreProperties>
</file>